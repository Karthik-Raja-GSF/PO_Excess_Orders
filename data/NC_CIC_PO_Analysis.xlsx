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 Review Detail" sheetId="1" state="visible" r:id="rId1"/>
    <sheet name="Action – Cancel PO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06100"/>
    </font>
    <font>
      <name val="Calibri"/>
      <color rgb="001F4E79"/>
    </font>
    <font>
      <name val="Calibri"/>
      <color rgb="009C0006"/>
    </font>
    <font>
      <name val="Calibri"/>
      <color rgb="009C6500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0" customWidth="1" min="3" max="3"/>
    <col width="13" customWidth="1" min="4" max="4"/>
    <col width="13" customWidth="1" min="5" max="5"/>
    <col width="17" customWidth="1" min="6" max="6"/>
    <col width="18" customWidth="1" min="7" max="7"/>
    <col width="16" customWidth="1" min="8" max="8"/>
    <col width="10" customWidth="1" min="9" max="9"/>
    <col width="18" customWidth="1" min="10" max="10"/>
    <col width="14" customWidth="1" min="11" max="11"/>
    <col width="19" customWidth="1" min="12" max="12"/>
    <col width="14" customWidth="1" min="13" max="13"/>
    <col width="13" customWidth="1" min="14" max="14"/>
    <col width="13" customWidth="1" min="15" max="15"/>
    <col width="14" customWidth="1" min="16" max="16"/>
    <col width="14" customWidth="1" min="17" max="17"/>
    <col width="22" customWidth="1" min="18" max="18"/>
    <col width="55" customWidth="1" min="19" max="19"/>
  </cols>
  <sheetData>
    <row r="1">
      <c r="A1" s="1" t="inlineStr">
        <is>
          <t>Item Code</t>
        </is>
      </c>
      <c r="B1" s="1" t="inlineStr">
        <is>
          <t>Item Description</t>
        </is>
      </c>
      <c r="C1" s="1" t="inlineStr">
        <is>
          <t>Supplier</t>
        </is>
      </c>
      <c r="D1" s="1" t="inlineStr">
        <is>
          <t>NC On Hand</t>
        </is>
      </c>
      <c r="E1" s="1" t="inlineStr">
        <is>
          <t>NC On Order</t>
        </is>
      </c>
      <c r="F1" s="1" t="inlineStr">
        <is>
          <t>NC Next PO/TO Qty</t>
        </is>
      </c>
      <c r="G1" s="1" t="inlineStr">
        <is>
          <t>NC Next PO/TO Date</t>
        </is>
      </c>
      <c r="H1" s="1" t="inlineStr">
        <is>
          <t>Order Type</t>
        </is>
      </c>
      <c r="I1" s="1" t="inlineStr">
        <is>
          <t>Verified</t>
        </is>
      </c>
      <c r="J1" s="1" t="inlineStr">
        <is>
          <t>Matched Order #</t>
        </is>
      </c>
      <c r="K1" s="1" t="inlineStr">
        <is>
          <t>NC Open Sales</t>
        </is>
      </c>
      <c r="L1" s="1" t="inlineStr">
        <is>
          <t>NC Supply (excl PO)</t>
        </is>
      </c>
      <c r="M1" s="1" t="inlineStr">
        <is>
          <t>NC Shortfall</t>
        </is>
      </c>
      <c r="N1" s="1" t="inlineStr">
        <is>
          <t>CIC On Hand</t>
        </is>
      </c>
      <c r="O1" s="1" t="inlineStr">
        <is>
          <t>CIC On Order</t>
        </is>
      </c>
      <c r="P1" s="1" t="inlineStr">
        <is>
          <t>CIC Open Sales</t>
        </is>
      </c>
      <c r="Q1" s="1" t="inlineStr">
        <is>
          <t>CIC Available</t>
        </is>
      </c>
      <c r="R1" s="1" t="inlineStr">
        <is>
          <t>PO Status</t>
        </is>
      </c>
      <c r="S1" s="1" t="inlineStr">
        <is>
          <t>Reason</t>
        </is>
      </c>
    </row>
    <row r="2">
      <c r="A2" s="2" t="inlineStr">
        <is>
          <t>101006</t>
        </is>
      </c>
      <c r="B2" s="2" t="inlineStr">
        <is>
          <t>TURKEY FRANKS 5" 8/1</t>
        </is>
      </c>
      <c r="C2" s="2" t="inlineStr">
        <is>
          <t>HORMEL FOODS CORP</t>
        </is>
      </c>
      <c r="D2" s="2" t="n">
        <v>1</v>
      </c>
      <c r="E2" s="2" t="n">
        <v>37</v>
      </c>
      <c r="F2" s="2" t="n">
        <v>7</v>
      </c>
      <c r="G2" s="2" t="inlineStr">
        <is>
          <t>2026/03/20</t>
        </is>
      </c>
      <c r="H2" s="3" t="inlineStr">
        <is>
          <t>Transfer Order</t>
        </is>
      </c>
      <c r="I2" s="2" t="inlineStr">
        <is>
          <t>No</t>
        </is>
      </c>
      <c r="J2" s="2" t="inlineStr">
        <is>
          <t>NC-TO007826</t>
        </is>
      </c>
      <c r="K2" s="2" t="n">
        <v>38</v>
      </c>
      <c r="L2" s="2">
        <f>D2 + E2</f>
        <v/>
      </c>
      <c r="M2" s="2">
        <f>MAX(0, K2 - L2)</f>
        <v/>
      </c>
      <c r="N2" s="2" t="n">
        <v>7</v>
      </c>
      <c r="O2" s="2" t="n">
        <v>0</v>
      </c>
      <c r="P2" s="2" t="n">
        <v>0</v>
      </c>
      <c r="Q2" s="2">
        <f>N2 - P2</f>
        <v/>
      </c>
      <c r="R2" s="4" t="inlineStr">
        <is>
          <t>PO NOT Needed</t>
        </is>
      </c>
      <c r="S2" s="2" t="inlineStr">
        <is>
          <t>NC has enough on hand + on order (excl. this PO) to cover open sales</t>
        </is>
      </c>
    </row>
    <row r="3">
      <c r="A3" s="2" t="inlineStr">
        <is>
          <t>101610</t>
        </is>
      </c>
      <c r="B3" s="2" t="inlineStr">
        <is>
          <t>CROISSANT BAKED SLICED</t>
        </is>
      </c>
      <c r="C3" s="2" t="inlineStr">
        <is>
          <t>GENERAL MILLS PILLSBURY</t>
        </is>
      </c>
      <c r="D3" s="2" t="n">
        <v>87</v>
      </c>
      <c r="E3" s="2" t="n">
        <v>84</v>
      </c>
      <c r="F3" s="2" t="n">
        <v>42</v>
      </c>
      <c r="G3" s="2" t="inlineStr">
        <is>
          <t>2026/03/12</t>
        </is>
      </c>
      <c r="H3" s="3" t="inlineStr">
        <is>
          <t>Transfer Order</t>
        </is>
      </c>
      <c r="I3" s="2" t="inlineStr">
        <is>
          <t>No</t>
        </is>
      </c>
      <c r="J3" s="2" t="inlineStr">
        <is>
          <t>NC-TO007881</t>
        </is>
      </c>
      <c r="K3" s="2" t="n">
        <v>108</v>
      </c>
      <c r="L3" s="2">
        <f>D3 + E3</f>
        <v/>
      </c>
      <c r="M3" s="2">
        <f>MAX(0, K3 - L3)</f>
        <v/>
      </c>
      <c r="N3" s="2" t="n">
        <v>210</v>
      </c>
      <c r="O3" s="2" t="n">
        <v>0</v>
      </c>
      <c r="P3" s="2" t="n">
        <v>0</v>
      </c>
      <c r="Q3" s="2">
        <f>N3 - P3</f>
        <v/>
      </c>
      <c r="R3" s="4" t="inlineStr">
        <is>
          <t>PO NOT Needed</t>
        </is>
      </c>
      <c r="S3" s="2" t="inlineStr">
        <is>
          <t>NC has enough on hand + on order (excl. this PO) to cover open sales</t>
        </is>
      </c>
    </row>
    <row r="4">
      <c r="A4" s="2" t="inlineStr">
        <is>
          <t>101682</t>
        </is>
      </c>
      <c r="B4" s="2" t="inlineStr">
        <is>
          <t>PORK RIB PATTY W HNY BBQ FC CN</t>
        </is>
      </c>
      <c r="C4" s="2" t="inlineStr">
        <is>
          <t>ADVANCE PIERRE FOODS</t>
        </is>
      </c>
      <c r="D4" s="2" t="n">
        <v>68</v>
      </c>
      <c r="E4" s="2" t="n">
        <v>72</v>
      </c>
      <c r="F4" s="2" t="n">
        <v>54</v>
      </c>
      <c r="G4" s="2" t="inlineStr">
        <is>
          <t>2026/03/20</t>
        </is>
      </c>
      <c r="H4" s="3" t="inlineStr">
        <is>
          <t>Transfer Order</t>
        </is>
      </c>
      <c r="I4" s="2" t="inlineStr">
        <is>
          <t>No</t>
        </is>
      </c>
      <c r="J4" s="2" t="inlineStr">
        <is>
          <t>NC-TO007786</t>
        </is>
      </c>
      <c r="K4" s="2" t="n">
        <v>140</v>
      </c>
      <c r="L4" s="2">
        <f>D4 + E4</f>
        <v/>
      </c>
      <c r="M4" s="2">
        <f>MAX(0, K4 - L4)</f>
        <v/>
      </c>
      <c r="N4" s="2" t="n">
        <v>323</v>
      </c>
      <c r="O4" s="2" t="n">
        <v>0</v>
      </c>
      <c r="P4" s="2" t="n">
        <v>0</v>
      </c>
      <c r="Q4" s="2">
        <f>N4 - P4</f>
        <v/>
      </c>
      <c r="R4" s="4" t="inlineStr">
        <is>
          <t>PO NOT Needed</t>
        </is>
      </c>
      <c r="S4" s="2" t="inlineStr">
        <is>
          <t>NC has enough on hand + on order (excl. this PO) to cover open sales</t>
        </is>
      </c>
    </row>
    <row r="5">
      <c r="A5" s="2" t="inlineStr">
        <is>
          <t>102184</t>
        </is>
      </c>
      <c r="B5" s="2" t="inlineStr">
        <is>
          <t>ROLL DINNER WHOLE WHEAT IW</t>
        </is>
      </c>
      <c r="C5" s="2" t="inlineStr">
        <is>
          <t>SHANNONS</t>
        </is>
      </c>
      <c r="D5" s="2" t="n">
        <v>138</v>
      </c>
      <c r="E5" s="2" t="n">
        <v>294</v>
      </c>
      <c r="F5" s="2" t="n">
        <v>94</v>
      </c>
      <c r="G5" s="2" t="inlineStr">
        <is>
          <t>2026/03/12</t>
        </is>
      </c>
      <c r="H5" s="3" t="inlineStr">
        <is>
          <t>Transfer Order</t>
        </is>
      </c>
      <c r="I5" s="2" t="inlineStr">
        <is>
          <t>No</t>
        </is>
      </c>
      <c r="J5" s="2" t="inlineStr">
        <is>
          <t>NC-TO007834</t>
        </is>
      </c>
      <c r="K5" s="2" t="n">
        <v>162</v>
      </c>
      <c r="L5" s="2">
        <f>D5 + E5</f>
        <v/>
      </c>
      <c r="M5" s="2">
        <f>MAX(0, K5 - L5)</f>
        <v/>
      </c>
      <c r="N5" s="2" t="n">
        <v>94</v>
      </c>
      <c r="O5" s="2" t="n">
        <v>0</v>
      </c>
      <c r="P5" s="2" t="n">
        <v>0</v>
      </c>
      <c r="Q5" s="2">
        <f>N5 - P5</f>
        <v/>
      </c>
      <c r="R5" s="4" t="inlineStr">
        <is>
          <t>PO NOT Needed</t>
        </is>
      </c>
      <c r="S5" s="2" t="inlineStr">
        <is>
          <t>NC has enough on hand + on order (excl. this PO) to cover open sales</t>
        </is>
      </c>
    </row>
    <row r="6">
      <c r="A6" s="2" t="inlineStr">
        <is>
          <t>102242</t>
        </is>
      </c>
      <c r="B6" s="2" t="inlineStr">
        <is>
          <t>51% HONEY WHEAT BRKFST BAR IW</t>
        </is>
      </c>
      <c r="C6" s="2" t="inlineStr">
        <is>
          <t>SKY BLUE FOODS LLC</t>
        </is>
      </c>
      <c r="D6" s="2" t="n">
        <v>100</v>
      </c>
      <c r="E6" s="2" t="n">
        <v>492</v>
      </c>
      <c r="F6" s="2" t="n">
        <v>54</v>
      </c>
      <c r="G6" s="2" t="inlineStr">
        <is>
          <t>2026/03/06</t>
        </is>
      </c>
      <c r="H6" s="3" t="inlineStr">
        <is>
          <t>Transfer Order</t>
        </is>
      </c>
      <c r="I6" s="2" t="inlineStr">
        <is>
          <t>No</t>
        </is>
      </c>
      <c r="J6" s="2" t="inlineStr">
        <is>
          <t>NC-TO007784</t>
        </is>
      </c>
      <c r="K6" s="2" t="n">
        <v>199</v>
      </c>
      <c r="L6" s="2">
        <f>D6 + E6</f>
        <v/>
      </c>
      <c r="M6" s="2">
        <f>MAX(0, K6 - L6)</f>
        <v/>
      </c>
      <c r="N6" s="2" t="n">
        <v>102</v>
      </c>
      <c r="O6" s="2" t="n">
        <v>0</v>
      </c>
      <c r="P6" s="2" t="n">
        <v>0</v>
      </c>
      <c r="Q6" s="2">
        <f>N6 - P6</f>
        <v/>
      </c>
      <c r="R6" s="4" t="inlineStr">
        <is>
          <t>PO NOT Needed</t>
        </is>
      </c>
      <c r="S6" s="2" t="inlineStr">
        <is>
          <t>NC has enough on hand + on order (excl. this PO) to cover open sales</t>
        </is>
      </c>
    </row>
    <row r="7">
      <c r="A7" s="2" t="inlineStr">
        <is>
          <t>102256</t>
        </is>
      </c>
      <c r="B7" s="2" t="inlineStr">
        <is>
          <t>LOAF CORN BREAD WG IW</t>
        </is>
      </c>
      <c r="C7" s="2" t="inlineStr">
        <is>
          <t>SKY BLUE FOODS LLC</t>
        </is>
      </c>
      <c r="D7" s="2" t="n">
        <v>69</v>
      </c>
      <c r="E7" s="2" t="n">
        <v>84</v>
      </c>
      <c r="F7" s="2" t="n">
        <v>84</v>
      </c>
      <c r="G7" s="2" t="inlineStr">
        <is>
          <t>2026/03/19</t>
        </is>
      </c>
      <c r="H7" s="2" t="inlineStr">
        <is>
          <t>PO</t>
        </is>
      </c>
      <c r="I7" s="2" t="inlineStr">
        <is>
          <t>No</t>
        </is>
      </c>
      <c r="J7" s="2" t="inlineStr"/>
      <c r="K7" s="2" t="n">
        <v>105</v>
      </c>
      <c r="L7" s="2">
        <f>D7 + (E7 - F7)</f>
        <v/>
      </c>
      <c r="M7" s="2">
        <f>MAX(0, K7 - L7)</f>
        <v/>
      </c>
      <c r="N7" s="2" t="n">
        <v>120</v>
      </c>
      <c r="O7" s="2" t="n">
        <v>0</v>
      </c>
      <c r="P7" s="2" t="n">
        <v>0</v>
      </c>
      <c r="Q7" s="2">
        <f>N7 - P7</f>
        <v/>
      </c>
      <c r="R7" s="4" t="inlineStr">
        <is>
          <t>PO NOT Needed</t>
        </is>
      </c>
      <c r="S7" s="2" t="inlineStr">
        <is>
          <t>CIC surplus of 120 can cover NC shortfall of 36</t>
        </is>
      </c>
    </row>
    <row r="8">
      <c r="A8" s="2" t="inlineStr">
        <is>
          <t>102462</t>
        </is>
      </c>
      <c r="B8" s="2" t="inlineStr">
        <is>
          <t>JUICE 100% ORANGE CARTON</t>
        </is>
      </c>
      <c r="C8" s="2" t="inlineStr">
        <is>
          <t>SUNCUP GREGORY PACKAGING</t>
        </is>
      </c>
      <c r="D8" s="2" t="n">
        <v>461</v>
      </c>
      <c r="E8" s="2" t="n">
        <v>320</v>
      </c>
      <c r="F8" s="2" t="n">
        <v>320</v>
      </c>
      <c r="G8" s="2" t="inlineStr">
        <is>
          <t>2026/03/15</t>
        </is>
      </c>
      <c r="H8" s="2" t="inlineStr">
        <is>
          <t>PO</t>
        </is>
      </c>
      <c r="I8" s="2" t="inlineStr">
        <is>
          <t>No</t>
        </is>
      </c>
      <c r="J8" s="2" t="inlineStr"/>
      <c r="K8" s="2" t="n">
        <v>532</v>
      </c>
      <c r="L8" s="2">
        <f>D8 + (E8 - F8)</f>
        <v/>
      </c>
      <c r="M8" s="2">
        <f>MAX(0, K8 - L8)</f>
        <v/>
      </c>
      <c r="N8" s="2" t="n">
        <v>400</v>
      </c>
      <c r="O8" s="2" t="n">
        <v>0</v>
      </c>
      <c r="P8" s="2" t="n">
        <v>0</v>
      </c>
      <c r="Q8" s="2">
        <f>N8 - P8</f>
        <v/>
      </c>
      <c r="R8" s="4" t="inlineStr">
        <is>
          <t>PO NOT Needed</t>
        </is>
      </c>
      <c r="S8" s="2" t="inlineStr">
        <is>
          <t>CIC surplus of 400 can cover NC shortfall of 71</t>
        </is>
      </c>
    </row>
    <row r="9">
      <c r="A9" s="2" t="inlineStr">
        <is>
          <t>110793</t>
        </is>
      </c>
      <c r="B9" s="2" t="inlineStr">
        <is>
          <t>COOKIE DOUGH CHC CHIP 51%RF WG</t>
        </is>
      </c>
      <c r="C9" s="2" t="inlineStr">
        <is>
          <t>ASPIRE BAKERIES LLC</t>
        </is>
      </c>
      <c r="D9" s="2" t="n">
        <v>485</v>
      </c>
      <c r="E9" s="2" t="n">
        <v>336</v>
      </c>
      <c r="F9" s="2" t="n">
        <v>336</v>
      </c>
      <c r="G9" s="2" t="inlineStr">
        <is>
          <t>2026/03/14</t>
        </is>
      </c>
      <c r="H9" s="2" t="inlineStr">
        <is>
          <t>PO</t>
        </is>
      </c>
      <c r="I9" s="2" t="inlineStr">
        <is>
          <t>No</t>
        </is>
      </c>
      <c r="J9" s="2" t="inlineStr"/>
      <c r="K9" s="2" t="n">
        <v>218</v>
      </c>
      <c r="L9" s="2">
        <f>D9 + (E9 - F9)</f>
        <v/>
      </c>
      <c r="M9" s="2">
        <f>MAX(0, K9 - L9)</f>
        <v/>
      </c>
      <c r="N9" s="2" t="n">
        <v>672</v>
      </c>
      <c r="O9" s="2" t="n">
        <v>0</v>
      </c>
      <c r="P9" s="2" t="n">
        <v>0</v>
      </c>
      <c r="Q9" s="2">
        <f>N9 - P9</f>
        <v/>
      </c>
      <c r="R9" s="4" t="inlineStr">
        <is>
          <t>PO NOT Needed</t>
        </is>
      </c>
      <c r="S9" s="2" t="inlineStr">
        <is>
          <t>NC has enough on hand + on order (excl. this PO) to cover open sales</t>
        </is>
      </c>
    </row>
    <row r="10">
      <c r="A10" s="2" t="inlineStr">
        <is>
          <t>113034</t>
        </is>
      </c>
      <c r="B10" s="2" t="inlineStr">
        <is>
          <t>CRUMB SQUARE WG IW</t>
        </is>
      </c>
      <c r="C10" s="2" t="inlineStr">
        <is>
          <t>DAVES BAKING COMPANY</t>
        </is>
      </c>
      <c r="D10" s="2" t="n">
        <v>134</v>
      </c>
      <c r="E10" s="2" t="n">
        <v>100</v>
      </c>
      <c r="F10" s="2" t="n">
        <v>50</v>
      </c>
      <c r="G10" s="2" t="inlineStr">
        <is>
          <t>2026/03/24</t>
        </is>
      </c>
      <c r="H10" s="2" t="inlineStr">
        <is>
          <t>PO</t>
        </is>
      </c>
      <c r="I10" s="2" t="inlineStr">
        <is>
          <t>No</t>
        </is>
      </c>
      <c r="J10" s="2" t="inlineStr"/>
      <c r="K10" s="2" t="n">
        <v>128</v>
      </c>
      <c r="L10" s="2">
        <f>D10 + (E10 - F10)</f>
        <v/>
      </c>
      <c r="M10" s="2">
        <f>MAX(0, K10 - L10)</f>
        <v/>
      </c>
      <c r="N10" s="2" t="n">
        <v>200</v>
      </c>
      <c r="O10" s="2" t="n">
        <v>0</v>
      </c>
      <c r="P10" s="2" t="n">
        <v>0</v>
      </c>
      <c r="Q10" s="2">
        <f>N10 - P10</f>
        <v/>
      </c>
      <c r="R10" s="4" t="inlineStr">
        <is>
          <t>PO NOT Needed</t>
        </is>
      </c>
      <c r="S10" s="2" t="inlineStr">
        <is>
          <t>NC has enough on hand + on order (excl. this PO) to cover open sales</t>
        </is>
      </c>
    </row>
    <row r="11">
      <c r="A11" s="2" t="inlineStr">
        <is>
          <t>113232</t>
        </is>
      </c>
      <c r="B11" s="2" t="inlineStr">
        <is>
          <t>BENEFIT BRKFST BAR OAT/CHOC IW</t>
        </is>
      </c>
      <c r="C11" s="2" t="inlineStr">
        <is>
          <t>J AND J SNACK FOODS</t>
        </is>
      </c>
      <c r="D11" s="2" t="n">
        <v>45</v>
      </c>
      <c r="E11" s="2" t="n">
        <v>4060</v>
      </c>
      <c r="F11" s="2" t="n">
        <v>1540</v>
      </c>
      <c r="G11" s="2" t="inlineStr">
        <is>
          <t>2026/03/08</t>
        </is>
      </c>
      <c r="H11" s="2" t="inlineStr">
        <is>
          <t>PO</t>
        </is>
      </c>
      <c r="I11" s="2" t="inlineStr">
        <is>
          <t>No</t>
        </is>
      </c>
      <c r="J11" s="2" t="inlineStr"/>
      <c r="K11" s="2" t="n">
        <v>1974</v>
      </c>
      <c r="L11" s="2">
        <f>D11 + (E11 - F11)</f>
        <v/>
      </c>
      <c r="M11" s="2">
        <f>MAX(0, K11 - L11)</f>
        <v/>
      </c>
      <c r="N11" s="2" t="n">
        <v>0</v>
      </c>
      <c r="O11" s="2" t="n">
        <v>0</v>
      </c>
      <c r="P11" s="2" t="n">
        <v>0</v>
      </c>
      <c r="Q11" s="2">
        <f>N11 - P11</f>
        <v/>
      </c>
      <c r="R11" s="4" t="inlineStr">
        <is>
          <t>PO NOT Needed</t>
        </is>
      </c>
      <c r="S11" s="2" t="inlineStr">
        <is>
          <t>NC has enough on hand + on order (excl. this PO) to cover open sales</t>
        </is>
      </c>
    </row>
    <row r="12">
      <c r="A12" s="2" t="inlineStr">
        <is>
          <t>133652</t>
        </is>
      </c>
      <c r="B12" s="2" t="inlineStr">
        <is>
          <t>PATTY PROTEIN VEGGIE</t>
        </is>
      </c>
      <c r="C12" s="2" t="inlineStr">
        <is>
          <t>DON LEE FARMS</t>
        </is>
      </c>
      <c r="D12" s="2" t="n">
        <v>123</v>
      </c>
      <c r="E12" s="2" t="n">
        <v>105</v>
      </c>
      <c r="F12" s="2" t="n">
        <v>105</v>
      </c>
      <c r="G12" s="2" t="inlineStr">
        <is>
          <t>2026/03/13</t>
        </is>
      </c>
      <c r="H12" s="2" t="inlineStr">
        <is>
          <t>PO</t>
        </is>
      </c>
      <c r="I12" s="2" t="inlineStr">
        <is>
          <t>No</t>
        </is>
      </c>
      <c r="J12" s="2" t="inlineStr"/>
      <c r="K12" s="2" t="n">
        <v>48</v>
      </c>
      <c r="L12" s="2">
        <f>D12 + (E12 - F12)</f>
        <v/>
      </c>
      <c r="M12" s="2">
        <f>MAX(0, K12 - L12)</f>
        <v/>
      </c>
      <c r="N12" s="2" t="n">
        <v>105</v>
      </c>
      <c r="O12" s="2" t="n">
        <v>0</v>
      </c>
      <c r="P12" s="2" t="n">
        <v>0</v>
      </c>
      <c r="Q12" s="2">
        <f>N12 - P12</f>
        <v/>
      </c>
      <c r="R12" s="4" t="inlineStr">
        <is>
          <t>PO NOT Needed</t>
        </is>
      </c>
      <c r="S12" s="2" t="inlineStr">
        <is>
          <t>NC has enough on hand + on order (excl. this PO) to cover open sales</t>
        </is>
      </c>
    </row>
    <row r="13">
      <c r="A13" s="2" t="inlineStr">
        <is>
          <t>133843</t>
        </is>
      </c>
      <c r="B13" s="2" t="inlineStr">
        <is>
          <t>CONCHA PINK WG IW</t>
        </is>
      </c>
      <c r="C13" s="2" t="inlineStr">
        <is>
          <t>JACK LORD</t>
        </is>
      </c>
      <c r="D13" s="2" t="n">
        <v>80</v>
      </c>
      <c r="E13" s="2" t="n">
        <v>70</v>
      </c>
      <c r="F13" s="2" t="n">
        <v>70</v>
      </c>
      <c r="G13" s="2" t="inlineStr">
        <is>
          <t>2026/03/12</t>
        </is>
      </c>
      <c r="H13" s="3" t="inlineStr">
        <is>
          <t>Transfer Order</t>
        </is>
      </c>
      <c r="I13" s="2" t="inlineStr">
        <is>
          <t>No</t>
        </is>
      </c>
      <c r="J13" s="2" t="inlineStr">
        <is>
          <t>NC-TO007834</t>
        </is>
      </c>
      <c r="K13" s="2" t="n">
        <v>13</v>
      </c>
      <c r="L13" s="2">
        <f>D13 + E13</f>
        <v/>
      </c>
      <c r="M13" s="2">
        <f>MAX(0, K13 - L13)</f>
        <v/>
      </c>
      <c r="N13" s="2" t="n">
        <v>255</v>
      </c>
      <c r="O13" s="2" t="n">
        <v>0</v>
      </c>
      <c r="P13" s="2" t="n">
        <v>0</v>
      </c>
      <c r="Q13" s="2">
        <f>N13 - P13</f>
        <v/>
      </c>
      <c r="R13" s="4" t="inlineStr">
        <is>
          <t>PO NOT Needed</t>
        </is>
      </c>
      <c r="S13" s="2" t="inlineStr">
        <is>
          <t>NC has enough on hand + on order (excl. this PO) to cover open sales</t>
        </is>
      </c>
    </row>
    <row r="14">
      <c r="A14" s="2" t="inlineStr">
        <is>
          <t>134231</t>
        </is>
      </c>
      <c r="B14" s="2" t="inlineStr">
        <is>
          <t>MUFFIN ENGLISH 3.5" SLICED WG</t>
        </is>
      </c>
      <c r="C14" s="2" t="inlineStr">
        <is>
          <t>BAKE CRAFTERS FOOD COMPANY</t>
        </is>
      </c>
      <c r="D14" s="2" t="n">
        <v>69</v>
      </c>
      <c r="E14" s="2" t="n">
        <v>126</v>
      </c>
      <c r="F14" s="2" t="n">
        <v>42</v>
      </c>
      <c r="G14" s="2" t="inlineStr">
        <is>
          <t>2026/03/12</t>
        </is>
      </c>
      <c r="H14" s="2" t="inlineStr">
        <is>
          <t>PO</t>
        </is>
      </c>
      <c r="I14" s="2" t="inlineStr">
        <is>
          <t>No</t>
        </is>
      </c>
      <c r="J14" s="2" t="inlineStr"/>
      <c r="K14" s="2" t="n">
        <v>19</v>
      </c>
      <c r="L14" s="2">
        <f>D14 + (E14 - F14)</f>
        <v/>
      </c>
      <c r="M14" s="2">
        <f>MAX(0, K14 - L14)</f>
        <v/>
      </c>
      <c r="N14" s="2" t="n">
        <v>108</v>
      </c>
      <c r="O14" s="2" t="n">
        <v>0</v>
      </c>
      <c r="P14" s="2" t="n">
        <v>0</v>
      </c>
      <c r="Q14" s="2">
        <f>N14 - P14</f>
        <v/>
      </c>
      <c r="R14" s="4" t="inlineStr">
        <is>
          <t>PO NOT Needed</t>
        </is>
      </c>
      <c r="S14" s="2" t="inlineStr">
        <is>
          <t>NC has enough on hand + on order (excl. this PO) to cover open sales</t>
        </is>
      </c>
    </row>
    <row r="15">
      <c r="A15" s="2" t="inlineStr">
        <is>
          <t>134267</t>
        </is>
      </c>
      <c r="B15" s="2" t="inlineStr">
        <is>
          <t>WAFFLE MINI BLUEBERRY BASH IW</t>
        </is>
      </c>
      <c r="C15" s="2" t="inlineStr">
        <is>
          <t>GENERAL MILLS PILLSBURY</t>
        </is>
      </c>
      <c r="D15" s="2" t="n">
        <v>103</v>
      </c>
      <c r="E15" s="2" t="n">
        <v>56</v>
      </c>
      <c r="F15" s="2" t="n">
        <v>56</v>
      </c>
      <c r="G15" s="2" t="inlineStr">
        <is>
          <t>2026/03/13</t>
        </is>
      </c>
      <c r="H15" s="3" t="inlineStr">
        <is>
          <t>Transfer Order</t>
        </is>
      </c>
      <c r="I15" s="2" t="inlineStr">
        <is>
          <t>No</t>
        </is>
      </c>
      <c r="J15" s="2" t="inlineStr">
        <is>
          <t>NC-TO007786</t>
        </is>
      </c>
      <c r="K15" s="2" t="n">
        <v>34</v>
      </c>
      <c r="L15" s="2">
        <f>D15 + E15</f>
        <v/>
      </c>
      <c r="M15" s="2">
        <f>MAX(0, K15 - L15)</f>
        <v/>
      </c>
      <c r="N15" s="2" t="n">
        <v>56</v>
      </c>
      <c r="O15" s="2" t="n">
        <v>0</v>
      </c>
      <c r="P15" s="2" t="n">
        <v>0</v>
      </c>
      <c r="Q15" s="2">
        <f>N15 - P15</f>
        <v/>
      </c>
      <c r="R15" s="4" t="inlineStr">
        <is>
          <t>PO NOT Needed</t>
        </is>
      </c>
      <c r="S15" s="2" t="inlineStr">
        <is>
          <t>NC has enough on hand + on order (excl. this PO) to cover open sales</t>
        </is>
      </c>
    </row>
    <row r="16">
      <c r="A16" s="2" t="inlineStr">
        <is>
          <t>134284</t>
        </is>
      </c>
      <c r="B16" s="2" t="inlineStr">
        <is>
          <t>WAFFLE MINI CINN WG IW</t>
        </is>
      </c>
      <c r="C16" s="2" t="inlineStr">
        <is>
          <t>KELLOGG SALES COMPANY FROZEN</t>
        </is>
      </c>
      <c r="D16" s="2" t="n">
        <v>179</v>
      </c>
      <c r="E16" s="2" t="n">
        <v>192</v>
      </c>
      <c r="F16" s="2" t="n">
        <v>112</v>
      </c>
      <c r="G16" s="2" t="inlineStr">
        <is>
          <t>2026/03/08</t>
        </is>
      </c>
      <c r="H16" s="2" t="inlineStr">
        <is>
          <t>PO</t>
        </is>
      </c>
      <c r="I16" s="2" t="inlineStr">
        <is>
          <t>No</t>
        </is>
      </c>
      <c r="J16" s="2" t="inlineStr"/>
      <c r="K16" s="2" t="n">
        <v>205</v>
      </c>
      <c r="L16" s="2">
        <f>D16 + (E16 - F16)</f>
        <v/>
      </c>
      <c r="M16" s="2">
        <f>MAX(0, K16 - L16)</f>
        <v/>
      </c>
      <c r="N16" s="2" t="n">
        <v>80</v>
      </c>
      <c r="O16" s="2" t="n">
        <v>0</v>
      </c>
      <c r="P16" s="2" t="n">
        <v>0</v>
      </c>
      <c r="Q16" s="2">
        <f>N16 - P16</f>
        <v/>
      </c>
      <c r="R16" s="4" t="inlineStr">
        <is>
          <t>PO NOT Needed</t>
        </is>
      </c>
      <c r="S16" s="2" t="inlineStr">
        <is>
          <t>NC has enough on hand + on order (excl. this PO) to cover open sales</t>
        </is>
      </c>
    </row>
    <row r="17">
      <c r="A17" s="2" t="inlineStr">
        <is>
          <t>134309</t>
        </is>
      </c>
      <c r="B17" s="2" t="inlineStr">
        <is>
          <t>BAGEL WHEAT SLICED WG</t>
        </is>
      </c>
      <c r="C17" s="2" t="inlineStr">
        <is>
          <t>DOT FOODS</t>
        </is>
      </c>
      <c r="D17" s="2" t="n">
        <v>543</v>
      </c>
      <c r="E17" s="2" t="n">
        <v>98</v>
      </c>
      <c r="F17" s="2" t="n">
        <v>98</v>
      </c>
      <c r="G17" s="2" t="inlineStr">
        <is>
          <t>2026/03/11</t>
        </is>
      </c>
      <c r="H17" s="2" t="inlineStr">
        <is>
          <t>PO</t>
        </is>
      </c>
      <c r="I17" s="2" t="inlineStr">
        <is>
          <t>No</t>
        </is>
      </c>
      <c r="J17" s="2" t="inlineStr"/>
      <c r="K17" s="2" t="n">
        <v>53</v>
      </c>
      <c r="L17" s="2">
        <f>D17 + (E17 - F17)</f>
        <v/>
      </c>
      <c r="M17" s="2">
        <f>MAX(0, K17 - L17)</f>
        <v/>
      </c>
      <c r="N17" s="2" t="n">
        <v>84</v>
      </c>
      <c r="O17" s="2" t="n">
        <v>0</v>
      </c>
      <c r="P17" s="2" t="n">
        <v>0</v>
      </c>
      <c r="Q17" s="2">
        <f>N17 - P17</f>
        <v/>
      </c>
      <c r="R17" s="4" t="inlineStr">
        <is>
          <t>PO NOT Needed</t>
        </is>
      </c>
      <c r="S17" s="2" t="inlineStr">
        <is>
          <t>NC has enough on hand + on order (excl. this PO) to cover open sales</t>
        </is>
      </c>
    </row>
    <row r="18">
      <c r="A18" s="2" t="inlineStr">
        <is>
          <t>134543</t>
        </is>
      </c>
      <c r="B18" s="2" t="inlineStr">
        <is>
          <t>CRUSTLESS SOY BUTTER JELLY WG</t>
        </is>
      </c>
      <c r="C18" s="2" t="inlineStr">
        <is>
          <t>ALBIES FOODS INC</t>
        </is>
      </c>
      <c r="D18" s="2" t="n">
        <v>435</v>
      </c>
      <c r="E18" s="2" t="n">
        <v>240</v>
      </c>
      <c r="F18" s="2" t="n">
        <v>240</v>
      </c>
      <c r="G18" s="2" t="inlineStr">
        <is>
          <t>2026/03/11</t>
        </is>
      </c>
      <c r="H18" s="2" t="inlineStr">
        <is>
          <t>PO</t>
        </is>
      </c>
      <c r="I18" s="2" t="inlineStr">
        <is>
          <t>No</t>
        </is>
      </c>
      <c r="J18" s="2" t="inlineStr"/>
      <c r="K18" s="2" t="n">
        <v>159</v>
      </c>
      <c r="L18" s="2">
        <f>D18 + (E18 - F18)</f>
        <v/>
      </c>
      <c r="M18" s="2">
        <f>MAX(0, K18 - L18)</f>
        <v/>
      </c>
      <c r="N18" s="2" t="n">
        <v>160</v>
      </c>
      <c r="O18" s="2" t="n">
        <v>0</v>
      </c>
      <c r="P18" s="2" t="n">
        <v>0</v>
      </c>
      <c r="Q18" s="2">
        <f>N18 - P18</f>
        <v/>
      </c>
      <c r="R18" s="4" t="inlineStr">
        <is>
          <t>PO NOT Needed</t>
        </is>
      </c>
      <c r="S18" s="2" t="inlineStr">
        <is>
          <t>NC has enough on hand + on order (excl. this PO) to cover open sales</t>
        </is>
      </c>
    </row>
    <row r="19">
      <c r="A19" s="2" t="inlineStr">
        <is>
          <t>134628</t>
        </is>
      </c>
      <c r="B19" s="2" t="inlineStr">
        <is>
          <t>TOAST FRENCH MINI ORIG WG IW</t>
        </is>
      </c>
      <c r="C19" s="2" t="inlineStr">
        <is>
          <t>KELLOGG SALES COMPANY FROZEN</t>
        </is>
      </c>
      <c r="D19" s="2" t="n">
        <v>20</v>
      </c>
      <c r="E19" s="2" t="n">
        <v>24</v>
      </c>
      <c r="F19" s="2" t="n">
        <v>24</v>
      </c>
      <c r="G19" s="2" t="inlineStr">
        <is>
          <t>2026/03/06</t>
        </is>
      </c>
      <c r="H19" s="2" t="inlineStr">
        <is>
          <t>PO</t>
        </is>
      </c>
      <c r="I19" s="2" t="inlineStr">
        <is>
          <t>No</t>
        </is>
      </c>
      <c r="J19" s="2" t="inlineStr"/>
      <c r="K19" s="2" t="n">
        <v>29</v>
      </c>
      <c r="L19" s="2">
        <f>D19 + (E19 - F19)</f>
        <v/>
      </c>
      <c r="M19" s="2">
        <f>MAX(0, K19 - L19)</f>
        <v/>
      </c>
      <c r="N19" s="2" t="n">
        <v>175</v>
      </c>
      <c r="O19" s="2" t="n">
        <v>0</v>
      </c>
      <c r="P19" s="2" t="n">
        <v>0</v>
      </c>
      <c r="Q19" s="2">
        <f>N19 - P19</f>
        <v/>
      </c>
      <c r="R19" s="4" t="inlineStr">
        <is>
          <t>PO NOT Needed</t>
        </is>
      </c>
      <c r="S19" s="2" t="inlineStr">
        <is>
          <t>CIC surplus of 175 can cover NC shortfall of 9</t>
        </is>
      </c>
    </row>
    <row r="20">
      <c r="A20" s="2" t="inlineStr">
        <is>
          <t>134667</t>
        </is>
      </c>
      <c r="B20" s="2" t="inlineStr">
        <is>
          <t>COOKIE RF C/CHIP WG IW</t>
        </is>
      </c>
      <c r="C20" s="2" t="inlineStr">
        <is>
          <t>BUENA VISTA FOOD PRODUCTS</t>
        </is>
      </c>
      <c r="D20" s="2" t="n">
        <v>74</v>
      </c>
      <c r="E20" s="2" t="n">
        <v>348</v>
      </c>
      <c r="F20" s="2" t="n">
        <v>48</v>
      </c>
      <c r="G20" s="2" t="inlineStr">
        <is>
          <t>2026/03/06</t>
        </is>
      </c>
      <c r="H20" s="2" t="inlineStr">
        <is>
          <t>PO</t>
        </is>
      </c>
      <c r="I20" s="2" t="inlineStr">
        <is>
          <t>No</t>
        </is>
      </c>
      <c r="J20" s="2" t="inlineStr"/>
      <c r="K20" s="2" t="n">
        <v>103</v>
      </c>
      <c r="L20" s="2">
        <f>D20 + (E20 - F20)</f>
        <v/>
      </c>
      <c r="M20" s="2">
        <f>MAX(0, K20 - L20)</f>
        <v/>
      </c>
      <c r="N20" s="2" t="n">
        <v>72</v>
      </c>
      <c r="O20" s="2" t="n">
        <v>0</v>
      </c>
      <c r="P20" s="2" t="n">
        <v>0</v>
      </c>
      <c r="Q20" s="2">
        <f>N20 - P20</f>
        <v/>
      </c>
      <c r="R20" s="4" t="inlineStr">
        <is>
          <t>PO NOT Needed</t>
        </is>
      </c>
      <c r="S20" s="2" t="inlineStr">
        <is>
          <t>NC has enough on hand + on order (excl. this PO) to cover open sales</t>
        </is>
      </c>
    </row>
    <row r="21">
      <c r="A21" s="2" t="inlineStr">
        <is>
          <t>134668</t>
        </is>
      </c>
      <c r="B21" s="2" t="inlineStr">
        <is>
          <t>RF COOKIE CHOC CHP WG IW</t>
        </is>
      </c>
      <c r="C21" s="2" t="inlineStr">
        <is>
          <t>BUENA VISTA FOOD PRODUCTS</t>
        </is>
      </c>
      <c r="D21" s="2" t="n">
        <v>55</v>
      </c>
      <c r="E21" s="2" t="n">
        <v>60</v>
      </c>
      <c r="F21" s="2" t="n">
        <v>60</v>
      </c>
      <c r="G21" s="2" t="inlineStr">
        <is>
          <t>2026/03/25</t>
        </is>
      </c>
      <c r="H21" s="2" t="inlineStr">
        <is>
          <t>PO</t>
        </is>
      </c>
      <c r="I21" s="2" t="inlineStr">
        <is>
          <t>No</t>
        </is>
      </c>
      <c r="J21" s="2" t="inlineStr"/>
      <c r="K21" s="2" t="n">
        <v>52</v>
      </c>
      <c r="L21" s="2">
        <f>D21 + (E21 - F21)</f>
        <v/>
      </c>
      <c r="M21" s="2">
        <f>MAX(0, K21 - L21)</f>
        <v/>
      </c>
      <c r="N21" s="2" t="n">
        <v>180</v>
      </c>
      <c r="O21" s="2" t="n">
        <v>0</v>
      </c>
      <c r="P21" s="2" t="n">
        <v>0</v>
      </c>
      <c r="Q21" s="2">
        <f>N21 - P21</f>
        <v/>
      </c>
      <c r="R21" s="4" t="inlineStr">
        <is>
          <t>PO NOT Needed</t>
        </is>
      </c>
      <c r="S21" s="2" t="inlineStr">
        <is>
          <t>NC has enough on hand + on order (excl. this PO) to cover open sales</t>
        </is>
      </c>
    </row>
    <row r="22">
      <c r="A22" s="2" t="inlineStr">
        <is>
          <t>134749</t>
        </is>
      </c>
      <c r="B22" s="2" t="inlineStr">
        <is>
          <t>MUFFIN CHOC CHOC CHIP WG IW</t>
        </is>
      </c>
      <c r="C22" s="2" t="inlineStr">
        <is>
          <t>ASPIRE BAKERIES LLC</t>
        </is>
      </c>
      <c r="D22" s="2" t="n">
        <v>143</v>
      </c>
      <c r="E22" s="2" t="n">
        <v>280</v>
      </c>
      <c r="F22" s="2" t="n">
        <v>70</v>
      </c>
      <c r="G22" s="2" t="inlineStr">
        <is>
          <t>2026/03/14</t>
        </is>
      </c>
      <c r="H22" s="2" t="inlineStr">
        <is>
          <t>PO</t>
        </is>
      </c>
      <c r="I22" s="2" t="inlineStr">
        <is>
          <t>No</t>
        </is>
      </c>
      <c r="J22" s="2" t="inlineStr"/>
      <c r="K22" s="2" t="n">
        <v>115</v>
      </c>
      <c r="L22" s="2">
        <f>D22 + (E22 - F22)</f>
        <v/>
      </c>
      <c r="M22" s="2">
        <f>MAX(0, K22 - L22)</f>
        <v/>
      </c>
      <c r="N22" s="2" t="n">
        <v>20</v>
      </c>
      <c r="O22" s="2" t="n">
        <v>0</v>
      </c>
      <c r="P22" s="2" t="n">
        <v>0</v>
      </c>
      <c r="Q22" s="2">
        <f>N22 - P22</f>
        <v/>
      </c>
      <c r="R22" s="4" t="inlineStr">
        <is>
          <t>PO NOT Needed</t>
        </is>
      </c>
      <c r="S22" s="2" t="inlineStr">
        <is>
          <t>NC has enough on hand + on order (excl. this PO) to cover open sales</t>
        </is>
      </c>
    </row>
    <row r="23">
      <c r="A23" s="2" t="inlineStr">
        <is>
          <t>134776</t>
        </is>
      </c>
      <c r="B23" s="2" t="inlineStr">
        <is>
          <t>WOWBUTTER JELLY W/ CRUST WG</t>
        </is>
      </c>
      <c r="C23" s="2" t="inlineStr">
        <is>
          <t>ALBIES FOODS INC</t>
        </is>
      </c>
      <c r="D23" s="2" t="n">
        <v>77</v>
      </c>
      <c r="E23" s="2" t="n">
        <v>256</v>
      </c>
      <c r="F23" s="2" t="n">
        <v>96</v>
      </c>
      <c r="G23" s="2" t="inlineStr">
        <is>
          <t>2026/03/10</t>
        </is>
      </c>
      <c r="H23" s="3" t="inlineStr">
        <is>
          <t>Transfer Order</t>
        </is>
      </c>
      <c r="I23" s="2" t="inlineStr">
        <is>
          <t>Yes</t>
        </is>
      </c>
      <c r="J23" s="2" t="inlineStr">
        <is>
          <t>NC-TO007815</t>
        </is>
      </c>
      <c r="K23" s="2" t="n">
        <v>282</v>
      </c>
      <c r="L23" s="2">
        <f>D23 + E23</f>
        <v/>
      </c>
      <c r="M23" s="2">
        <f>MAX(0, K23 - L23)</f>
        <v/>
      </c>
      <c r="N23" s="2" t="n">
        <v>96</v>
      </c>
      <c r="O23" s="2" t="n">
        <v>0</v>
      </c>
      <c r="P23" s="2" t="n">
        <v>0</v>
      </c>
      <c r="Q23" s="2">
        <f>N23 - P23</f>
        <v/>
      </c>
      <c r="R23" s="4" t="inlineStr">
        <is>
          <t>PO NOT Needed</t>
        </is>
      </c>
      <c r="S23" s="2" t="inlineStr">
        <is>
          <t>NC has enough on hand + on order (excl. this PO) to cover open sales</t>
        </is>
      </c>
    </row>
    <row r="24">
      <c r="A24" s="2" t="inlineStr">
        <is>
          <t>138932</t>
        </is>
      </c>
      <c r="B24" s="2" t="inlineStr">
        <is>
          <t>COOKIE RED VELVET WG IW</t>
        </is>
      </c>
      <c r="C24" s="2" t="inlineStr">
        <is>
          <t>BUENA VISTA FOOD PRODUCTS</t>
        </is>
      </c>
      <c r="D24" s="2" t="n">
        <v>55</v>
      </c>
      <c r="E24" s="2" t="n">
        <v>40</v>
      </c>
      <c r="F24" s="2" t="n">
        <v>40</v>
      </c>
      <c r="G24" s="2" t="inlineStr">
        <is>
          <t>2026/03/15</t>
        </is>
      </c>
      <c r="H24" s="2" t="inlineStr">
        <is>
          <t>PO</t>
        </is>
      </c>
      <c r="I24" s="2" t="inlineStr">
        <is>
          <t>No</t>
        </is>
      </c>
      <c r="J24" s="2" t="inlineStr"/>
      <c r="K24" s="2" t="n">
        <v>29</v>
      </c>
      <c r="L24" s="2">
        <f>D24 + (E24 - F24)</f>
        <v/>
      </c>
      <c r="M24" s="2">
        <f>MAX(0, K24 - L24)</f>
        <v/>
      </c>
      <c r="N24" s="2" t="n">
        <v>20</v>
      </c>
      <c r="O24" s="2" t="n">
        <v>0</v>
      </c>
      <c r="P24" s="2" t="n">
        <v>0</v>
      </c>
      <c r="Q24" s="2">
        <f>N24 - P24</f>
        <v/>
      </c>
      <c r="R24" s="4" t="inlineStr">
        <is>
          <t>PO NOT Needed</t>
        </is>
      </c>
      <c r="S24" s="2" t="inlineStr">
        <is>
          <t>NC has enough on hand + on order (excl. this PO) to cover open sales</t>
        </is>
      </c>
    </row>
    <row r="25">
      <c r="A25" s="2" t="inlineStr">
        <is>
          <t>138940</t>
        </is>
      </c>
      <c r="B25" s="2" t="inlineStr">
        <is>
          <t>8/1 TURKEY FRANKS</t>
        </is>
      </c>
      <c r="C25" s="2" t="inlineStr">
        <is>
          <t>DOT FOODS</t>
        </is>
      </c>
      <c r="D25" s="2" t="n">
        <v>385</v>
      </c>
      <c r="E25" s="2" t="n">
        <v>72</v>
      </c>
      <c r="F25" s="2" t="n">
        <v>72</v>
      </c>
      <c r="G25" s="2" t="inlineStr">
        <is>
          <t>2026/03/11</t>
        </is>
      </c>
      <c r="H25" s="2" t="inlineStr">
        <is>
          <t>PO</t>
        </is>
      </c>
      <c r="I25" s="2" t="inlineStr">
        <is>
          <t>No</t>
        </is>
      </c>
      <c r="J25" s="2" t="inlineStr"/>
      <c r="K25" s="2" t="n">
        <v>21</v>
      </c>
      <c r="L25" s="2">
        <f>D25 + (E25 - F25)</f>
        <v/>
      </c>
      <c r="M25" s="2">
        <f>MAX(0, K25 - L25)</f>
        <v/>
      </c>
      <c r="N25" s="2" t="n">
        <v>208</v>
      </c>
      <c r="O25" s="2" t="n">
        <v>0</v>
      </c>
      <c r="P25" s="2" t="n">
        <v>0</v>
      </c>
      <c r="Q25" s="2">
        <f>N25 - P25</f>
        <v/>
      </c>
      <c r="R25" s="4" t="inlineStr">
        <is>
          <t>PO NOT Needed</t>
        </is>
      </c>
      <c r="S25" s="2" t="inlineStr">
        <is>
          <t>NC has enough on hand + on order (excl. this PO) to cover open sales</t>
        </is>
      </c>
    </row>
    <row r="26">
      <c r="A26" s="2" t="inlineStr">
        <is>
          <t>139005</t>
        </is>
      </c>
      <c r="B26" s="2" t="inlineStr">
        <is>
          <t>PASTA PENNE RIGATI HC WW WG</t>
        </is>
      </c>
      <c r="C26" s="2" t="inlineStr">
        <is>
          <t>MARZETTI COMPANY</t>
        </is>
      </c>
      <c r="D26" s="2" t="n">
        <v>261</v>
      </c>
      <c r="E26" s="2" t="n">
        <v>760</v>
      </c>
      <c r="F26" s="2" t="n">
        <v>420</v>
      </c>
      <c r="G26" s="2" t="inlineStr">
        <is>
          <t>2026/03/15</t>
        </is>
      </c>
      <c r="H26" s="2" t="inlineStr">
        <is>
          <t>PO</t>
        </is>
      </c>
      <c r="I26" s="2" t="inlineStr">
        <is>
          <t>No</t>
        </is>
      </c>
      <c r="J26" s="2" t="inlineStr"/>
      <c r="K26" s="2" t="n">
        <v>579</v>
      </c>
      <c r="L26" s="2">
        <f>D26 + (E26 - F26)</f>
        <v/>
      </c>
      <c r="M26" s="2">
        <f>MAX(0, K26 - L26)</f>
        <v/>
      </c>
      <c r="N26" s="2" t="n">
        <v>400</v>
      </c>
      <c r="O26" s="2" t="n">
        <v>0</v>
      </c>
      <c r="P26" s="2" t="n">
        <v>0</v>
      </c>
      <c r="Q26" s="2">
        <f>N26 - P26</f>
        <v/>
      </c>
      <c r="R26" s="4" t="inlineStr">
        <is>
          <t>PO NOT Needed</t>
        </is>
      </c>
      <c r="S26" s="2" t="inlineStr">
        <is>
          <t>NC has enough on hand + on order (excl. this PO) to cover open sales</t>
        </is>
      </c>
    </row>
    <row r="27">
      <c r="A27" s="2" t="inlineStr">
        <is>
          <t>139662</t>
        </is>
      </c>
      <c r="B27" s="2" t="inlineStr">
        <is>
          <t>DONUT CHOC ENROBED MINI WG IW</t>
        </is>
      </c>
      <c r="C27" s="2" t="inlineStr">
        <is>
          <t>SUPER BAKERY</t>
        </is>
      </c>
      <c r="D27" s="2" t="n">
        <v>312</v>
      </c>
      <c r="E27" s="2" t="n">
        <v>160</v>
      </c>
      <c r="F27" s="2" t="n">
        <v>128</v>
      </c>
      <c r="G27" s="2" t="inlineStr">
        <is>
          <t>2026/03/20</t>
        </is>
      </c>
      <c r="H27" s="2" t="inlineStr">
        <is>
          <t>PO</t>
        </is>
      </c>
      <c r="I27" s="2" t="inlineStr">
        <is>
          <t>No</t>
        </is>
      </c>
      <c r="J27" s="2" t="inlineStr"/>
      <c r="K27" s="2" t="n">
        <v>320</v>
      </c>
      <c r="L27" s="2">
        <f>D27 + (E27 - F27)</f>
        <v/>
      </c>
      <c r="M27" s="2">
        <f>MAX(0, K27 - L27)</f>
        <v/>
      </c>
      <c r="N27" s="2" t="n">
        <v>63</v>
      </c>
      <c r="O27" s="2" t="n">
        <v>0</v>
      </c>
      <c r="P27" s="2" t="n">
        <v>0</v>
      </c>
      <c r="Q27" s="2">
        <f>N27 - P27</f>
        <v/>
      </c>
      <c r="R27" s="4" t="inlineStr">
        <is>
          <t>PO NOT Needed</t>
        </is>
      </c>
      <c r="S27" s="2" t="inlineStr">
        <is>
          <t>NC has enough on hand + on order (excl. this PO) to cover open sales</t>
        </is>
      </c>
    </row>
    <row r="28">
      <c r="A28" s="2" t="inlineStr">
        <is>
          <t>140105</t>
        </is>
      </c>
      <c r="B28" s="2" t="inlineStr">
        <is>
          <t>BISCUIT HONEY WW IW</t>
        </is>
      </c>
      <c r="C28" s="2" t="inlineStr">
        <is>
          <t>BRIDGFORD FOODS</t>
        </is>
      </c>
      <c r="D28" s="2" t="n">
        <v>112</v>
      </c>
      <c r="E28" s="2" t="n">
        <v>112</v>
      </c>
      <c r="F28" s="2" t="n">
        <v>112</v>
      </c>
      <c r="G28" s="2" t="inlineStr">
        <is>
          <t>2026/03/12</t>
        </is>
      </c>
      <c r="H28" s="3" t="inlineStr">
        <is>
          <t>Transfer Order</t>
        </is>
      </c>
      <c r="I28" s="2" t="inlineStr">
        <is>
          <t>No</t>
        </is>
      </c>
      <c r="J28" s="2" t="inlineStr">
        <is>
          <t>NC-TO007834</t>
        </is>
      </c>
      <c r="K28" s="2" t="n">
        <v>112</v>
      </c>
      <c r="L28" s="2">
        <f>D28 + E28</f>
        <v/>
      </c>
      <c r="M28" s="2">
        <f>MAX(0, K28 - L28)</f>
        <v/>
      </c>
      <c r="N28" s="2" t="n">
        <v>112</v>
      </c>
      <c r="O28" s="2" t="n">
        <v>0</v>
      </c>
      <c r="P28" s="2" t="n">
        <v>0</v>
      </c>
      <c r="Q28" s="2">
        <f>N28 - P28</f>
        <v/>
      </c>
      <c r="R28" s="4" t="inlineStr">
        <is>
          <t>PO NOT Needed</t>
        </is>
      </c>
      <c r="S28" s="2" t="inlineStr">
        <is>
          <t>NC has enough on hand + on order (excl. this PO) to cover open sales</t>
        </is>
      </c>
    </row>
    <row r="29">
      <c r="A29" s="2" t="inlineStr">
        <is>
          <t>140682</t>
        </is>
      </c>
      <c r="B29" s="2" t="inlineStr">
        <is>
          <t>DOUGH SCONE BLUEBERRY LEMON WG</t>
        </is>
      </c>
      <c r="C29" s="2" t="inlineStr">
        <is>
          <t>FAT CAT BAKERY</t>
        </is>
      </c>
      <c r="D29" s="2" t="n">
        <v>41</v>
      </c>
      <c r="E29" s="2" t="n">
        <v>150</v>
      </c>
      <c r="F29" s="2" t="n">
        <v>50</v>
      </c>
      <c r="G29" s="2" t="inlineStr">
        <is>
          <t>2026/03/06</t>
        </is>
      </c>
      <c r="H29" s="2" t="inlineStr">
        <is>
          <t>PO</t>
        </is>
      </c>
      <c r="I29" s="2" t="inlineStr">
        <is>
          <t>No</t>
        </is>
      </c>
      <c r="J29" s="2" t="inlineStr"/>
      <c r="K29" s="2" t="n">
        <v>164</v>
      </c>
      <c r="L29" s="2">
        <f>D29 + (E29 - F29)</f>
        <v/>
      </c>
      <c r="M29" s="2">
        <f>MAX(0, K29 - L29)</f>
        <v/>
      </c>
      <c r="N29" s="2" t="n">
        <v>0</v>
      </c>
      <c r="O29" s="2" t="n">
        <v>0</v>
      </c>
      <c r="P29" s="2" t="n">
        <v>0</v>
      </c>
      <c r="Q29" s="2">
        <f>N29 - P29</f>
        <v/>
      </c>
      <c r="R29" s="5" t="inlineStr">
        <is>
          <t>PO Needed</t>
        </is>
      </c>
      <c r="S29" s="2" t="inlineStr">
        <is>
          <t>CIC has no available surplus to transfer</t>
        </is>
      </c>
    </row>
    <row r="30">
      <c r="A30" s="2" t="inlineStr">
        <is>
          <t>141041</t>
        </is>
      </c>
      <c r="B30" s="2" t="inlineStr">
        <is>
          <t>PANCAKE BUTTERMILK BULK WG</t>
        </is>
      </c>
      <c r="C30" s="2" t="inlineStr">
        <is>
          <t>BAKE CRAFTERS FOOD COMPANY</t>
        </is>
      </c>
      <c r="D30" s="2" t="n">
        <v>330</v>
      </c>
      <c r="E30" s="2" t="n">
        <v>288</v>
      </c>
      <c r="F30" s="2" t="n">
        <v>288</v>
      </c>
      <c r="G30" s="2" t="inlineStr">
        <is>
          <t>2026/03/19</t>
        </is>
      </c>
      <c r="H30" s="2" t="inlineStr">
        <is>
          <t>PO</t>
        </is>
      </c>
      <c r="I30" s="2" t="inlineStr">
        <is>
          <t>No</t>
        </is>
      </c>
      <c r="J30" s="2" t="inlineStr"/>
      <c r="K30" s="2" t="n">
        <v>73</v>
      </c>
      <c r="L30" s="2">
        <f>D30 + (E30 - F30)</f>
        <v/>
      </c>
      <c r="M30" s="2">
        <f>MAX(0, K30 - L30)</f>
        <v/>
      </c>
      <c r="N30" s="2" t="n">
        <v>24</v>
      </c>
      <c r="O30" s="2" t="n">
        <v>0</v>
      </c>
      <c r="P30" s="2" t="n">
        <v>0</v>
      </c>
      <c r="Q30" s="2">
        <f>N30 - P30</f>
        <v/>
      </c>
      <c r="R30" s="4" t="inlineStr">
        <is>
          <t>PO NOT Needed</t>
        </is>
      </c>
      <c r="S30" s="2" t="inlineStr">
        <is>
          <t>NC has enough on hand + on order (excl. this PO) to cover open sales</t>
        </is>
      </c>
    </row>
    <row r="31">
      <c r="A31" s="2" t="inlineStr">
        <is>
          <t>141047</t>
        </is>
      </c>
      <c r="B31" s="2" t="inlineStr">
        <is>
          <t>WAFFLE GOURMET BULK WG</t>
        </is>
      </c>
      <c r="C31" s="2" t="inlineStr">
        <is>
          <t>BAKE CRAFTERS FOOD COMPANY</t>
        </is>
      </c>
      <c r="D31" s="2" t="n">
        <v>494</v>
      </c>
      <c r="E31" s="2" t="n">
        <v>640</v>
      </c>
      <c r="F31" s="2" t="n">
        <v>480</v>
      </c>
      <c r="G31" s="2" t="inlineStr">
        <is>
          <t>2026/03/19</t>
        </is>
      </c>
      <c r="H31" s="2" t="inlineStr">
        <is>
          <t>PO</t>
        </is>
      </c>
      <c r="I31" s="2" t="inlineStr">
        <is>
          <t>No</t>
        </is>
      </c>
      <c r="J31" s="2" t="inlineStr"/>
      <c r="K31" s="2" t="n">
        <v>211</v>
      </c>
      <c r="L31" s="2">
        <f>D31 + (E31 - F31)</f>
        <v/>
      </c>
      <c r="M31" s="2">
        <f>MAX(0, K31 - L31)</f>
        <v/>
      </c>
      <c r="N31" s="2" t="n">
        <v>72</v>
      </c>
      <c r="O31" s="2" t="n">
        <v>0</v>
      </c>
      <c r="P31" s="2" t="n">
        <v>0</v>
      </c>
      <c r="Q31" s="2">
        <f>N31 - P31</f>
        <v/>
      </c>
      <c r="R31" s="4" t="inlineStr">
        <is>
          <t>PO NOT Needed</t>
        </is>
      </c>
      <c r="S31" s="2" t="inlineStr">
        <is>
          <t>NC has enough on hand + on order (excl. this PO) to cover open sales</t>
        </is>
      </c>
    </row>
    <row r="32">
      <c r="A32" s="2" t="inlineStr">
        <is>
          <t>141160</t>
        </is>
      </c>
      <c r="B32" s="2" t="inlineStr">
        <is>
          <t>PANCAKES CINN GLAZE WG IW</t>
        </is>
      </c>
      <c r="C32" s="2" t="inlineStr">
        <is>
          <t>CONAGRA FOODS FROZEN</t>
        </is>
      </c>
      <c r="D32" s="2" t="n">
        <v>138</v>
      </c>
      <c r="E32" s="2" t="n">
        <v>450</v>
      </c>
      <c r="F32" s="2" t="n">
        <v>60</v>
      </c>
      <c r="G32" s="2" t="inlineStr">
        <is>
          <t>2026/03/12</t>
        </is>
      </c>
      <c r="H32" s="2" t="inlineStr">
        <is>
          <t>PO</t>
        </is>
      </c>
      <c r="I32" s="2" t="inlineStr">
        <is>
          <t>No</t>
        </is>
      </c>
      <c r="J32" s="2" t="inlineStr"/>
      <c r="K32" s="2" t="n">
        <v>134</v>
      </c>
      <c r="L32" s="2">
        <f>D32 + (E32 - F32)</f>
        <v/>
      </c>
      <c r="M32" s="2">
        <f>MAX(0, K32 - L32)</f>
        <v/>
      </c>
      <c r="N32" s="2" t="n">
        <v>260</v>
      </c>
      <c r="O32" s="2" t="n">
        <v>0</v>
      </c>
      <c r="P32" s="2" t="n">
        <v>0</v>
      </c>
      <c r="Q32" s="2">
        <f>N32 - P32</f>
        <v/>
      </c>
      <c r="R32" s="4" t="inlineStr">
        <is>
          <t>PO NOT Needed</t>
        </is>
      </c>
      <c r="S32" s="2" t="inlineStr">
        <is>
          <t>NC has enough on hand + on order (excl. this PO) to cover open sales</t>
        </is>
      </c>
    </row>
    <row r="33">
      <c r="A33" s="2" t="inlineStr">
        <is>
          <t>141222</t>
        </is>
      </c>
      <c r="B33" s="2" t="inlineStr">
        <is>
          <t>PASTA PENNE RIGATI PRECKD WG</t>
        </is>
      </c>
      <c r="C33" s="2" t="inlineStr">
        <is>
          <t>MARZETTI COMPANY</t>
        </is>
      </c>
      <c r="D33" s="2" t="n">
        <v>241</v>
      </c>
      <c r="E33" s="2" t="n">
        <v>140</v>
      </c>
      <c r="F33" s="2" t="n">
        <v>140</v>
      </c>
      <c r="G33" s="2" t="inlineStr">
        <is>
          <t>2026/03/15</t>
        </is>
      </c>
      <c r="H33" s="2" t="inlineStr">
        <is>
          <t>PO</t>
        </is>
      </c>
      <c r="I33" s="2" t="inlineStr">
        <is>
          <t>No</t>
        </is>
      </c>
      <c r="J33" s="2" t="inlineStr"/>
      <c r="K33" s="2" t="n">
        <v>89</v>
      </c>
      <c r="L33" s="2">
        <f>D33 + (E33 - F33)</f>
        <v/>
      </c>
      <c r="M33" s="2">
        <f>MAX(0, K33 - L33)</f>
        <v/>
      </c>
      <c r="N33" s="2" t="n">
        <v>301</v>
      </c>
      <c r="O33" s="2" t="n">
        <v>0</v>
      </c>
      <c r="P33" s="2" t="n">
        <v>0</v>
      </c>
      <c r="Q33" s="2">
        <f>N33 - P33</f>
        <v/>
      </c>
      <c r="R33" s="4" t="inlineStr">
        <is>
          <t>PO NOT Needed</t>
        </is>
      </c>
      <c r="S33" s="2" t="inlineStr">
        <is>
          <t>NC has enough on hand + on order (excl. this PO) to cover open sales</t>
        </is>
      </c>
    </row>
    <row r="34">
      <c r="A34" s="2" t="inlineStr">
        <is>
          <t>141316</t>
        </is>
      </c>
      <c r="B34" s="2" t="inlineStr">
        <is>
          <t>MUFFIN ENGLISH 3.5" SLICED WG</t>
        </is>
      </c>
      <c r="C34" s="2" t="inlineStr">
        <is>
          <t>FLOWERS FOODS SPECIALTY</t>
        </is>
      </c>
      <c r="D34" s="2" t="n">
        <v>150</v>
      </c>
      <c r="E34" s="2" t="n">
        <v>78</v>
      </c>
      <c r="F34" s="2" t="n">
        <v>78</v>
      </c>
      <c r="G34" s="2" t="inlineStr">
        <is>
          <t>2026/03/10</t>
        </is>
      </c>
      <c r="H34" s="3" t="inlineStr">
        <is>
          <t>Transfer Order</t>
        </is>
      </c>
      <c r="I34" s="2" t="inlineStr">
        <is>
          <t>Yes</t>
        </is>
      </c>
      <c r="J34" s="2" t="inlineStr">
        <is>
          <t>NC-TO007815</t>
        </is>
      </c>
      <c r="K34" s="2" t="n">
        <v>133</v>
      </c>
      <c r="L34" s="2">
        <f>D34 + E34</f>
        <v/>
      </c>
      <c r="M34" s="2">
        <f>MAX(0, K34 - L34)</f>
        <v/>
      </c>
      <c r="N34" s="2" t="n">
        <v>78</v>
      </c>
      <c r="O34" s="2" t="n">
        <v>0</v>
      </c>
      <c r="P34" s="2" t="n">
        <v>0</v>
      </c>
      <c r="Q34" s="2">
        <f>N34 - P34</f>
        <v/>
      </c>
      <c r="R34" s="4" t="inlineStr">
        <is>
          <t>PO NOT Needed</t>
        </is>
      </c>
      <c r="S34" s="2" t="inlineStr">
        <is>
          <t>NC has enough on hand + on order (excl. this PO) to cover open sales</t>
        </is>
      </c>
    </row>
    <row r="35">
      <c r="A35" s="2" t="inlineStr">
        <is>
          <t>141360</t>
        </is>
      </c>
      <c r="B35" s="2" t="inlineStr">
        <is>
          <t>WAFFLE 4"</t>
        </is>
      </c>
      <c r="C35" s="2" t="inlineStr">
        <is>
          <t>KELLOGG SALES COMPANY FROZEN</t>
        </is>
      </c>
      <c r="D35" s="2" t="n">
        <v>125</v>
      </c>
      <c r="E35" s="2" t="n">
        <v>70</v>
      </c>
      <c r="F35" s="2" t="n">
        <v>70</v>
      </c>
      <c r="G35" s="2" t="inlineStr">
        <is>
          <t>2026/03/14</t>
        </is>
      </c>
      <c r="H35" s="2" t="inlineStr">
        <is>
          <t>PO</t>
        </is>
      </c>
      <c r="I35" s="2" t="inlineStr">
        <is>
          <t>No</t>
        </is>
      </c>
      <c r="J35" s="2" t="inlineStr"/>
      <c r="K35" s="2" t="n">
        <v>76</v>
      </c>
      <c r="L35" s="2">
        <f>D35 + (E35 - F35)</f>
        <v/>
      </c>
      <c r="M35" s="2">
        <f>MAX(0, K35 - L35)</f>
        <v/>
      </c>
      <c r="N35" s="2" t="n">
        <v>140</v>
      </c>
      <c r="O35" s="2" t="n">
        <v>0</v>
      </c>
      <c r="P35" s="2" t="n">
        <v>0</v>
      </c>
      <c r="Q35" s="2">
        <f>N35 - P35</f>
        <v/>
      </c>
      <c r="R35" s="4" t="inlineStr">
        <is>
          <t>PO NOT Needed</t>
        </is>
      </c>
      <c r="S35" s="2" t="inlineStr">
        <is>
          <t>NC has enough on hand + on order (excl. this PO) to cover open sales</t>
        </is>
      </c>
    </row>
    <row r="36">
      <c r="A36" s="2" t="inlineStr">
        <is>
          <t>141524</t>
        </is>
      </c>
      <c r="B36" s="2" t="inlineStr">
        <is>
          <t>COOKIE GREEN EGG IW</t>
        </is>
      </c>
      <c r="C36" s="2" t="inlineStr">
        <is>
          <t>BUENA VISTA FOOD PRODUCTS</t>
        </is>
      </c>
      <c r="D36" s="2" t="n">
        <v>1</v>
      </c>
      <c r="E36" s="2" t="n">
        <v>174</v>
      </c>
      <c r="F36" s="2" t="n">
        <v>36</v>
      </c>
      <c r="G36" s="2" t="inlineStr">
        <is>
          <t>2026/03/06</t>
        </is>
      </c>
      <c r="H36" s="2" t="inlineStr">
        <is>
          <t>PO</t>
        </is>
      </c>
      <c r="I36" s="2" t="inlineStr">
        <is>
          <t>No</t>
        </is>
      </c>
      <c r="J36" s="2" t="inlineStr"/>
      <c r="K36" s="2" t="n">
        <v>175</v>
      </c>
      <c r="L36" s="2">
        <f>D36 + (E36 - F36)</f>
        <v/>
      </c>
      <c r="M36" s="2">
        <f>MAX(0, K36 - L36)</f>
        <v/>
      </c>
      <c r="N36" s="2" t="n">
        <v>0</v>
      </c>
      <c r="O36" s="2" t="n">
        <v>0</v>
      </c>
      <c r="P36" s="2" t="n">
        <v>0</v>
      </c>
      <c r="Q36" s="2">
        <f>N36 - P36</f>
        <v/>
      </c>
      <c r="R36" s="5" t="inlineStr">
        <is>
          <t>PO Needed</t>
        </is>
      </c>
      <c r="S36" s="2" t="inlineStr">
        <is>
          <t>CIC has no available surplus to transfer</t>
        </is>
      </c>
    </row>
    <row r="37">
      <c r="A37" s="2" t="inlineStr">
        <is>
          <t>142893</t>
        </is>
      </c>
      <c r="B37" s="2" t="inlineStr">
        <is>
          <t>BISCUIT BAKED EASY SPLIT RS</t>
        </is>
      </c>
      <c r="C37" s="2" t="inlineStr">
        <is>
          <t>GENERAL MILLS PILLSBURY</t>
        </is>
      </c>
      <c r="D37" s="2" t="n">
        <v>18</v>
      </c>
      <c r="E37" s="2" t="n">
        <v>48</v>
      </c>
      <c r="F37" s="2" t="n">
        <v>48</v>
      </c>
      <c r="G37" s="2" t="inlineStr">
        <is>
          <t>2026/03/12</t>
        </is>
      </c>
      <c r="H37" s="3" t="inlineStr">
        <is>
          <t>Transfer Order</t>
        </is>
      </c>
      <c r="I37" s="2" t="inlineStr">
        <is>
          <t>No</t>
        </is>
      </c>
      <c r="J37" s="2" t="inlineStr">
        <is>
          <t>NC-TO007834</t>
        </is>
      </c>
      <c r="K37" s="2" t="n">
        <v>8</v>
      </c>
      <c r="L37" s="2">
        <f>D37 + E37</f>
        <v/>
      </c>
      <c r="M37" s="2">
        <f>MAX(0, K37 - L37)</f>
        <v/>
      </c>
      <c r="N37" s="2" t="n">
        <v>216</v>
      </c>
      <c r="O37" s="2" t="n">
        <v>0</v>
      </c>
      <c r="P37" s="2" t="n">
        <v>0</v>
      </c>
      <c r="Q37" s="2">
        <f>N37 - P37</f>
        <v/>
      </c>
      <c r="R37" s="4" t="inlineStr">
        <is>
          <t>PO NOT Needed</t>
        </is>
      </c>
      <c r="S37" s="2" t="inlineStr">
        <is>
          <t>NC has enough on hand + on order (excl. this PO) to cover open sales</t>
        </is>
      </c>
    </row>
    <row r="38">
      <c r="A38" s="2" t="inlineStr">
        <is>
          <t>142923</t>
        </is>
      </c>
      <c r="B38" s="2" t="inlineStr">
        <is>
          <t>SANDWICH SUB TURKEY CHEESE IW</t>
        </is>
      </c>
      <c r="C38" s="2" t="inlineStr">
        <is>
          <t>CLASSIC DELIGHT INC</t>
        </is>
      </c>
      <c r="D38" s="2" t="n">
        <v>118</v>
      </c>
      <c r="E38" s="2" t="n">
        <v>160</v>
      </c>
      <c r="F38" s="2" t="n">
        <v>160</v>
      </c>
      <c r="G38" s="2" t="inlineStr">
        <is>
          <t>2026/03/06</t>
        </is>
      </c>
      <c r="H38" s="2" t="inlineStr">
        <is>
          <t>PO</t>
        </is>
      </c>
      <c r="I38" s="2" t="inlineStr">
        <is>
          <t>No</t>
        </is>
      </c>
      <c r="J38" s="2" t="inlineStr"/>
      <c r="K38" s="2" t="n">
        <v>8</v>
      </c>
      <c r="L38" s="2">
        <f>D38 + (E38 - F38)</f>
        <v/>
      </c>
      <c r="M38" s="2">
        <f>MAX(0, K38 - L38)</f>
        <v/>
      </c>
      <c r="N38" s="2" t="n">
        <v>320</v>
      </c>
      <c r="O38" s="2" t="n">
        <v>0</v>
      </c>
      <c r="P38" s="2" t="n">
        <v>0</v>
      </c>
      <c r="Q38" s="2">
        <f>N38 - P38</f>
        <v/>
      </c>
      <c r="R38" s="4" t="inlineStr">
        <is>
          <t>PO NOT Needed</t>
        </is>
      </c>
      <c r="S38" s="2" t="inlineStr">
        <is>
          <t>NC has enough on hand + on order (excl. this PO) to cover open sales</t>
        </is>
      </c>
    </row>
    <row r="39">
      <c r="A39" s="2" t="inlineStr">
        <is>
          <t>142943</t>
        </is>
      </c>
      <c r="B39" s="2" t="inlineStr">
        <is>
          <t>CHICKEN FRIED RICE BOWL</t>
        </is>
      </c>
      <c r="C39" s="2" t="inlineStr">
        <is>
          <t>YANGS 5TH TASTE</t>
        </is>
      </c>
      <c r="D39" s="2" t="n">
        <v>0</v>
      </c>
      <c r="E39" s="2" t="n">
        <v>63</v>
      </c>
      <c r="F39" s="2" t="n">
        <v>28</v>
      </c>
      <c r="G39" s="2" t="inlineStr">
        <is>
          <t>2026/03/10</t>
        </is>
      </c>
      <c r="H39" s="2" t="inlineStr">
        <is>
          <t>PO</t>
        </is>
      </c>
      <c r="I39" s="2" t="inlineStr">
        <is>
          <t>No</t>
        </is>
      </c>
      <c r="J39" s="2" t="inlineStr"/>
      <c r="K39" s="2" t="n">
        <v>30</v>
      </c>
      <c r="L39" s="2">
        <f>D39 + (E39 - F39)</f>
        <v/>
      </c>
      <c r="M39" s="2">
        <f>MAX(0, K39 - L39)</f>
        <v/>
      </c>
      <c r="N39" s="2" t="n">
        <v>35</v>
      </c>
      <c r="O39" s="2" t="n">
        <v>0</v>
      </c>
      <c r="P39" s="2" t="n">
        <v>0</v>
      </c>
      <c r="Q39" s="2">
        <f>N39 - P39</f>
        <v/>
      </c>
      <c r="R39" s="4" t="inlineStr">
        <is>
          <t>PO NOT Needed</t>
        </is>
      </c>
      <c r="S39" s="2" t="inlineStr">
        <is>
          <t>NC has enough on hand + on order (excl. this PO) to cover open sales</t>
        </is>
      </c>
    </row>
    <row r="40">
      <c r="A40" s="2" t="inlineStr">
        <is>
          <t>143253</t>
        </is>
      </c>
      <c r="B40" s="2" t="inlineStr">
        <is>
          <t>JUICE ORANGE</t>
        </is>
      </c>
      <c r="C40" s="2" t="inlineStr">
        <is>
          <t>COUNTRY PURE FOODS</t>
        </is>
      </c>
      <c r="D40" s="2" t="n">
        <v>111</v>
      </c>
      <c r="E40" s="2" t="n">
        <v>160</v>
      </c>
      <c r="F40" s="2" t="n">
        <v>160</v>
      </c>
      <c r="G40" s="2" t="inlineStr">
        <is>
          <t>2026/03/11</t>
        </is>
      </c>
      <c r="H40" s="3" t="inlineStr">
        <is>
          <t>Transfer Order</t>
        </is>
      </c>
      <c r="I40" s="2" t="inlineStr">
        <is>
          <t>No</t>
        </is>
      </c>
      <c r="J40" s="2" t="inlineStr">
        <is>
          <t>NC-TO007784</t>
        </is>
      </c>
      <c r="K40" s="2" t="n">
        <v>35</v>
      </c>
      <c r="L40" s="2">
        <f>D40 + E40</f>
        <v/>
      </c>
      <c r="M40" s="2">
        <f>MAX(0, K40 - L40)</f>
        <v/>
      </c>
      <c r="N40" s="2" t="n">
        <v>80</v>
      </c>
      <c r="O40" s="2" t="n">
        <v>0</v>
      </c>
      <c r="P40" s="2" t="n">
        <v>0</v>
      </c>
      <c r="Q40" s="2">
        <f>N40 - P40</f>
        <v/>
      </c>
      <c r="R40" s="4" t="inlineStr">
        <is>
          <t>PO NOT Needed</t>
        </is>
      </c>
      <c r="S40" s="2" t="inlineStr">
        <is>
          <t>NC has enough on hand + on order (excl. this PO) to cover open sales</t>
        </is>
      </c>
    </row>
    <row r="41">
      <c r="A41" s="2" t="inlineStr">
        <is>
          <t>143254</t>
        </is>
      </c>
      <c r="B41" s="2" t="inlineStr">
        <is>
          <t>JUICE APPLE</t>
        </is>
      </c>
      <c r="C41" s="2" t="inlineStr">
        <is>
          <t>COUNTRY PURE FOODS</t>
        </is>
      </c>
      <c r="D41" s="2" t="n">
        <v>56</v>
      </c>
      <c r="E41" s="2" t="n">
        <v>1120</v>
      </c>
      <c r="F41" s="2" t="n">
        <v>200</v>
      </c>
      <c r="G41" s="2" t="inlineStr">
        <is>
          <t>2026/03/06</t>
        </is>
      </c>
      <c r="H41" s="3" t="inlineStr">
        <is>
          <t>Transfer Order</t>
        </is>
      </c>
      <c r="I41" s="2" t="inlineStr">
        <is>
          <t>No</t>
        </is>
      </c>
      <c r="J41" s="2" t="inlineStr">
        <is>
          <t>NC-TO007784</t>
        </is>
      </c>
      <c r="K41" s="2" t="n">
        <v>142</v>
      </c>
      <c r="L41" s="2">
        <f>D41 + E41</f>
        <v/>
      </c>
      <c r="M41" s="2">
        <f>MAX(0, K41 - L41)</f>
        <v/>
      </c>
      <c r="N41" s="2" t="n">
        <v>840</v>
      </c>
      <c r="O41" s="2" t="n">
        <v>0</v>
      </c>
      <c r="P41" s="2" t="n">
        <v>0</v>
      </c>
      <c r="Q41" s="2">
        <f>N41 - P41</f>
        <v/>
      </c>
      <c r="R41" s="4" t="inlineStr">
        <is>
          <t>PO NOT Needed</t>
        </is>
      </c>
      <c r="S41" s="2" t="inlineStr">
        <is>
          <t>NC has enough on hand + on order (excl. this PO) to cover open sales</t>
        </is>
      </c>
    </row>
    <row r="42">
      <c r="A42" s="2" t="inlineStr">
        <is>
          <t>143256</t>
        </is>
      </c>
      <c r="B42" s="2" t="inlineStr">
        <is>
          <t>JUICE FRUIT PUNCH</t>
        </is>
      </c>
      <c r="C42" s="2" t="inlineStr">
        <is>
          <t>COUNTRY PURE FOODS</t>
        </is>
      </c>
      <c r="D42" s="2" t="n">
        <v>339</v>
      </c>
      <c r="E42" s="2" t="n">
        <v>480</v>
      </c>
      <c r="F42" s="2" t="n">
        <v>480</v>
      </c>
      <c r="G42" s="2" t="inlineStr">
        <is>
          <t>2026/03/14</t>
        </is>
      </c>
      <c r="H42" s="2" t="inlineStr">
        <is>
          <t>PO</t>
        </is>
      </c>
      <c r="I42" s="2" t="inlineStr">
        <is>
          <t>No</t>
        </is>
      </c>
      <c r="J42" s="2" t="inlineStr"/>
      <c r="K42" s="2" t="n">
        <v>135</v>
      </c>
      <c r="L42" s="2">
        <f>D42 + (E42 - F42)</f>
        <v/>
      </c>
      <c r="M42" s="2">
        <f>MAX(0, K42 - L42)</f>
        <v/>
      </c>
      <c r="N42" s="2" t="n">
        <v>80</v>
      </c>
      <c r="O42" s="2" t="n">
        <v>0</v>
      </c>
      <c r="P42" s="2" t="n">
        <v>0</v>
      </c>
      <c r="Q42" s="2">
        <f>N42 - P42</f>
        <v/>
      </c>
      <c r="R42" s="4" t="inlineStr">
        <is>
          <t>PO NOT Needed</t>
        </is>
      </c>
      <c r="S42" s="2" t="inlineStr">
        <is>
          <t>NC has enough on hand + on order (excl. this PO) to cover open sales</t>
        </is>
      </c>
    </row>
    <row r="43">
      <c r="A43" s="2" t="inlineStr">
        <is>
          <t>143313</t>
        </is>
      </c>
      <c r="B43" s="2" t="inlineStr">
        <is>
          <t>POTATO LOOPS SEAS</t>
        </is>
      </c>
      <c r="C43" s="2" t="inlineStr">
        <is>
          <t>JR SIMPLOT COMPANY</t>
        </is>
      </c>
      <c r="D43" s="2" t="n">
        <v>83</v>
      </c>
      <c r="E43" s="2" t="n">
        <v>145</v>
      </c>
      <c r="F43" s="2" t="n">
        <v>145</v>
      </c>
      <c r="G43" s="2" t="inlineStr">
        <is>
          <t>2026/03/13</t>
        </is>
      </c>
      <c r="H43" s="3" t="inlineStr">
        <is>
          <t>Transfer Order</t>
        </is>
      </c>
      <c r="I43" s="2" t="inlineStr">
        <is>
          <t>No</t>
        </is>
      </c>
      <c r="J43" s="2" t="inlineStr">
        <is>
          <t>NC-TO007786</t>
        </is>
      </c>
      <c r="K43" s="2" t="n">
        <v>379</v>
      </c>
      <c r="L43" s="2">
        <f>D43 + E43</f>
        <v/>
      </c>
      <c r="M43" s="2">
        <f>MAX(0, K43 - L43)</f>
        <v/>
      </c>
      <c r="N43" s="2" t="n">
        <v>100</v>
      </c>
      <c r="O43" s="2" t="n">
        <v>0</v>
      </c>
      <c r="P43" s="2" t="n">
        <v>0</v>
      </c>
      <c r="Q43" s="2">
        <f>N43 - P43</f>
        <v/>
      </c>
      <c r="R43" s="6" t="inlineStr">
        <is>
          <t>PO Partially Needed</t>
        </is>
      </c>
      <c r="S43" s="2" t="inlineStr">
        <is>
          <t>CIC covers 100 of 151 shortfall; still need 51</t>
        </is>
      </c>
    </row>
    <row r="44">
      <c r="A44" s="2" t="inlineStr">
        <is>
          <t>144042</t>
        </is>
      </c>
      <c r="B44" s="2" t="inlineStr">
        <is>
          <t>WINGS BUFFALO VEGAN</t>
        </is>
      </c>
      <c r="C44" s="2" t="inlineStr">
        <is>
          <t>KELLOGG SALES COMPANY FROZEN</t>
        </is>
      </c>
      <c r="D44" s="2" t="n">
        <v>87</v>
      </c>
      <c r="E44" s="2" t="n">
        <v>60</v>
      </c>
      <c r="F44" s="2" t="n">
        <v>60</v>
      </c>
      <c r="G44" s="2" t="inlineStr">
        <is>
          <t>2026/03/10</t>
        </is>
      </c>
      <c r="H44" s="3" t="inlineStr">
        <is>
          <t>Transfer Order</t>
        </is>
      </c>
      <c r="I44" s="2" t="inlineStr">
        <is>
          <t>Yes</t>
        </is>
      </c>
      <c r="J44" s="2" t="inlineStr">
        <is>
          <t>NC-TO007815</t>
        </is>
      </c>
      <c r="K44" s="2" t="n">
        <v>85</v>
      </c>
      <c r="L44" s="2">
        <f>D44 + E44</f>
        <v/>
      </c>
      <c r="M44" s="2">
        <f>MAX(0, K44 - L44)</f>
        <v/>
      </c>
      <c r="N44" s="2" t="n">
        <v>180</v>
      </c>
      <c r="O44" s="2" t="n">
        <v>0</v>
      </c>
      <c r="P44" s="2" t="n">
        <v>0</v>
      </c>
      <c r="Q44" s="2">
        <f>N44 - P44</f>
        <v/>
      </c>
      <c r="R44" s="4" t="inlineStr">
        <is>
          <t>PO NOT Needed</t>
        </is>
      </c>
      <c r="S44" s="2" t="inlineStr">
        <is>
          <t>NC has enough on hand + on order (excl. this PO) to cover open sales</t>
        </is>
      </c>
    </row>
    <row r="45">
      <c r="A45" s="2" t="inlineStr">
        <is>
          <t>144045</t>
        </is>
      </c>
      <c r="B45" s="2" t="inlineStr">
        <is>
          <t>DILLA QUESADILLA THREE CHEESE</t>
        </is>
      </c>
      <c r="C45" s="2" t="inlineStr">
        <is>
          <t>TRUE NATURAL FOODS</t>
        </is>
      </c>
      <c r="D45" s="2" t="n">
        <v>575</v>
      </c>
      <c r="E45" s="2" t="n">
        <v>312</v>
      </c>
      <c r="F45" s="2" t="n">
        <v>312</v>
      </c>
      <c r="G45" s="2" t="inlineStr">
        <is>
          <t>2026/03/14</t>
        </is>
      </c>
      <c r="H45" s="2" t="inlineStr">
        <is>
          <t>PO</t>
        </is>
      </c>
      <c r="I45" s="2" t="inlineStr">
        <is>
          <t>No</t>
        </is>
      </c>
      <c r="J45" s="2" t="inlineStr"/>
      <c r="K45" s="2" t="n">
        <v>518</v>
      </c>
      <c r="L45" s="2">
        <f>D45 + (E45 - F45)</f>
        <v/>
      </c>
      <c r="M45" s="2">
        <f>MAX(0, K45 - L45)</f>
        <v/>
      </c>
      <c r="N45" s="2" t="n">
        <v>42</v>
      </c>
      <c r="O45" s="2" t="n">
        <v>108</v>
      </c>
      <c r="P45" s="2" t="n">
        <v>0</v>
      </c>
      <c r="Q45" s="2">
        <f>N45 - P45</f>
        <v/>
      </c>
      <c r="R45" s="4" t="inlineStr">
        <is>
          <t>PO NOT Needed</t>
        </is>
      </c>
      <c r="S45" s="2" t="inlineStr">
        <is>
          <t>NC has enough on hand + on order (excl. this PO) to cover open sales</t>
        </is>
      </c>
    </row>
    <row r="46">
      <c r="A46" s="2" t="inlineStr">
        <is>
          <t>144436</t>
        </is>
      </c>
      <c r="B46" s="2" t="inlineStr">
        <is>
          <t>CROISSANT MARGARINE SLICED RF</t>
        </is>
      </c>
      <c r="C46" s="2" t="inlineStr">
        <is>
          <t>BAKE CRAFTERS FOOD COMPANY</t>
        </is>
      </c>
      <c r="D46" s="2" t="n">
        <v>58</v>
      </c>
      <c r="E46" s="2" t="n">
        <v>28</v>
      </c>
      <c r="F46" s="2" t="n">
        <v>28</v>
      </c>
      <c r="G46" s="2" t="inlineStr">
        <is>
          <t>2026/03/26</t>
        </is>
      </c>
      <c r="H46" s="2" t="inlineStr">
        <is>
          <t>PO</t>
        </is>
      </c>
      <c r="I46" s="2" t="inlineStr">
        <is>
          <t>No</t>
        </is>
      </c>
      <c r="J46" s="2" t="inlineStr"/>
      <c r="K46" s="2" t="n">
        <v>48</v>
      </c>
      <c r="L46" s="2">
        <f>D46 + (E46 - F46)</f>
        <v/>
      </c>
      <c r="M46" s="2">
        <f>MAX(0, K46 - L46)</f>
        <v/>
      </c>
      <c r="N46" s="2" t="n">
        <v>8</v>
      </c>
      <c r="O46" s="2" t="n">
        <v>0</v>
      </c>
      <c r="P46" s="2" t="n">
        <v>0</v>
      </c>
      <c r="Q46" s="2">
        <f>N46 - P46</f>
        <v/>
      </c>
      <c r="R46" s="4" t="inlineStr">
        <is>
          <t>PO NOT Needed</t>
        </is>
      </c>
      <c r="S46" s="2" t="inlineStr">
        <is>
          <t>NC has enough on hand + on order (excl. this PO) to cover open sales</t>
        </is>
      </c>
    </row>
    <row r="47">
      <c r="A47" s="2" t="inlineStr">
        <is>
          <t>144561</t>
        </is>
      </c>
      <c r="B47" s="2" t="inlineStr">
        <is>
          <t>SMOOTHIE YOGRT MANGO PINEAPPLE</t>
        </is>
      </c>
      <c r="C47" s="2" t="inlineStr">
        <is>
          <t>BAR FRESH CORP INC</t>
        </is>
      </c>
      <c r="D47" s="2" t="n">
        <v>185</v>
      </c>
      <c r="E47" s="2" t="n">
        <v>180</v>
      </c>
      <c r="F47" s="2" t="n">
        <v>180</v>
      </c>
      <c r="G47" s="2" t="inlineStr">
        <is>
          <t>2026/03/20</t>
        </is>
      </c>
      <c r="H47" s="2" t="inlineStr">
        <is>
          <t>PO</t>
        </is>
      </c>
      <c r="I47" s="2" t="inlineStr">
        <is>
          <t>No</t>
        </is>
      </c>
      <c r="J47" s="2" t="inlineStr"/>
      <c r="K47" s="2" t="n">
        <v>27</v>
      </c>
      <c r="L47" s="2">
        <f>D47 + (E47 - F47)</f>
        <v/>
      </c>
      <c r="M47" s="2">
        <f>MAX(0, K47 - L47)</f>
        <v/>
      </c>
      <c r="N47" s="2" t="n">
        <v>135</v>
      </c>
      <c r="O47" s="2" t="n">
        <v>0</v>
      </c>
      <c r="P47" s="2" t="n">
        <v>0</v>
      </c>
      <c r="Q47" s="2">
        <f>N47 - P47</f>
        <v/>
      </c>
      <c r="R47" s="4" t="inlineStr">
        <is>
          <t>PO NOT Needed</t>
        </is>
      </c>
      <c r="S47" s="2" t="inlineStr">
        <is>
          <t>NC has enough on hand + on order (excl. this PO) to cover open sales</t>
        </is>
      </c>
    </row>
    <row r="48">
      <c r="A48" s="2" t="inlineStr">
        <is>
          <t>144902</t>
        </is>
      </c>
      <c r="B48" s="2" t="inlineStr">
        <is>
          <t>HOT DOGS 6" 8/1 BEEF FRANK</t>
        </is>
      </c>
      <c r="C48" s="2" t="inlineStr">
        <is>
          <t>MILLER PACKING COMPANY</t>
        </is>
      </c>
      <c r="D48" s="2" t="n">
        <v>25</v>
      </c>
      <c r="E48" s="2" t="n">
        <v>132</v>
      </c>
      <c r="F48" s="2" t="n">
        <v>99</v>
      </c>
      <c r="G48" s="2" t="inlineStr">
        <is>
          <t>2026/03/13</t>
        </is>
      </c>
      <c r="H48" s="2" t="inlineStr">
        <is>
          <t>PO</t>
        </is>
      </c>
      <c r="I48" s="2" t="inlineStr">
        <is>
          <t>No</t>
        </is>
      </c>
      <c r="J48" s="2" t="inlineStr"/>
      <c r="K48" s="2" t="n">
        <v>68</v>
      </c>
      <c r="L48" s="2">
        <f>D48 + (E48 - F48)</f>
        <v/>
      </c>
      <c r="M48" s="2">
        <f>MAX(0, K48 - L48)</f>
        <v/>
      </c>
      <c r="N48" s="2" t="n">
        <v>96</v>
      </c>
      <c r="O48" s="2" t="n">
        <v>0</v>
      </c>
      <c r="P48" s="2" t="n">
        <v>0</v>
      </c>
      <c r="Q48" s="2">
        <f>N48 - P48</f>
        <v/>
      </c>
      <c r="R48" s="4" t="inlineStr">
        <is>
          <t>PO NOT Needed</t>
        </is>
      </c>
      <c r="S48" s="2" t="inlineStr">
        <is>
          <t>CIC surplus of 96 can cover NC shortfall of 10</t>
        </is>
      </c>
    </row>
    <row r="49">
      <c r="A49" s="2" t="inlineStr">
        <is>
          <t>149391</t>
        </is>
      </c>
      <c r="B49" s="2" t="inlineStr">
        <is>
          <t>BREAD COCOA SLICE</t>
        </is>
      </c>
      <c r="C49" s="2" t="inlineStr">
        <is>
          <t>SUPER BAKERY</t>
        </is>
      </c>
      <c r="D49" s="2" t="n">
        <v>30</v>
      </c>
      <c r="E49" s="2" t="n">
        <v>42</v>
      </c>
      <c r="F49" s="2" t="n">
        <v>42</v>
      </c>
      <c r="G49" s="2" t="inlineStr">
        <is>
          <t>2026/03/24</t>
        </is>
      </c>
      <c r="H49" s="2" t="inlineStr">
        <is>
          <t>PO</t>
        </is>
      </c>
      <c r="I49" s="2" t="inlineStr">
        <is>
          <t>No</t>
        </is>
      </c>
      <c r="J49" s="2" t="inlineStr"/>
      <c r="K49" s="2" t="n">
        <v>22</v>
      </c>
      <c r="L49" s="2">
        <f>D49 + (E49 - F49)</f>
        <v/>
      </c>
      <c r="M49" s="2">
        <f>MAX(0, K49 - L49)</f>
        <v/>
      </c>
      <c r="N49" s="2" t="n">
        <v>70</v>
      </c>
      <c r="O49" s="2" t="n">
        <v>0</v>
      </c>
      <c r="P49" s="2" t="n">
        <v>0</v>
      </c>
      <c r="Q49" s="2">
        <f>N49 - P49</f>
        <v/>
      </c>
      <c r="R49" s="4" t="inlineStr">
        <is>
          <t>PO NOT Needed</t>
        </is>
      </c>
      <c r="S49" s="2" t="inlineStr">
        <is>
          <t>NC has enough on hand + on order (excl. this PO) to cover open sales</t>
        </is>
      </c>
    </row>
    <row r="50">
      <c r="A50" s="2" t="inlineStr">
        <is>
          <t>149516</t>
        </is>
      </c>
      <c r="B50" s="2" t="inlineStr">
        <is>
          <t>BROCCOLI FLORET IQF</t>
        </is>
      </c>
      <c r="C50" s="2" t="inlineStr">
        <is>
          <t>JR SIMPLOT COMPANY</t>
        </is>
      </c>
      <c r="D50" s="2" t="n">
        <v>8</v>
      </c>
      <c r="E50" s="2" t="n">
        <v>8</v>
      </c>
      <c r="F50" s="2" t="n">
        <v>8</v>
      </c>
      <c r="G50" s="2" t="inlineStr">
        <is>
          <t>2026/03/10</t>
        </is>
      </c>
      <c r="H50" s="3" t="inlineStr">
        <is>
          <t>Transfer Order</t>
        </is>
      </c>
      <c r="I50" s="2" t="inlineStr">
        <is>
          <t>Yes</t>
        </is>
      </c>
      <c r="J50" s="2" t="inlineStr">
        <is>
          <t>NC-TO007815</t>
        </is>
      </c>
      <c r="K50" s="2" t="n">
        <v>26</v>
      </c>
      <c r="L50" s="2">
        <f>D50 + E50</f>
        <v/>
      </c>
      <c r="M50" s="2">
        <f>MAX(0, K50 - L50)</f>
        <v/>
      </c>
      <c r="N50" s="2" t="n">
        <v>110</v>
      </c>
      <c r="O50" s="2" t="n">
        <v>0</v>
      </c>
      <c r="P50" s="2" t="n">
        <v>0</v>
      </c>
      <c r="Q50" s="2">
        <f>N50 - P50</f>
        <v/>
      </c>
      <c r="R50" s="4" t="inlineStr">
        <is>
          <t>PO NOT Needed</t>
        </is>
      </c>
      <c r="S50" s="2" t="inlineStr">
        <is>
          <t>CIC surplus of 110 can cover NC shortfall of 10</t>
        </is>
      </c>
    </row>
    <row r="51">
      <c r="A51" s="2" t="inlineStr">
        <is>
          <t>149528</t>
        </is>
      </c>
      <c r="B51" s="2" t="inlineStr">
        <is>
          <t>TATER GEMS POTATOES</t>
        </is>
      </c>
      <c r="C51" s="2" t="inlineStr">
        <is>
          <t>JR SIMPLOT COMPANY</t>
        </is>
      </c>
      <c r="D51" s="2" t="n">
        <v>587</v>
      </c>
      <c r="E51" s="2" t="n">
        <v>315</v>
      </c>
      <c r="F51" s="2" t="n">
        <v>189</v>
      </c>
      <c r="G51" s="2" t="inlineStr">
        <is>
          <t>2026/03/13</t>
        </is>
      </c>
      <c r="H51" s="2" t="inlineStr">
        <is>
          <t>PO</t>
        </is>
      </c>
      <c r="I51" s="2" t="inlineStr">
        <is>
          <t>No</t>
        </is>
      </c>
      <c r="J51" s="2" t="inlineStr"/>
      <c r="K51" s="2" t="n">
        <v>184</v>
      </c>
      <c r="L51" s="2">
        <f>D51 + (E51 - F51)</f>
        <v/>
      </c>
      <c r="M51" s="2">
        <f>MAX(0, K51 - L51)</f>
        <v/>
      </c>
      <c r="N51" s="2" t="n">
        <v>0</v>
      </c>
      <c r="O51" s="2" t="n">
        <v>0</v>
      </c>
      <c r="P51" s="2" t="n">
        <v>0</v>
      </c>
      <c r="Q51" s="2">
        <f>N51 - P51</f>
        <v/>
      </c>
      <c r="R51" s="4" t="inlineStr">
        <is>
          <t>PO NOT Needed</t>
        </is>
      </c>
      <c r="S51" s="2" t="inlineStr">
        <is>
          <t>NC has enough on hand + on order (excl. this PO) to cover open sales</t>
        </is>
      </c>
    </row>
    <row r="52">
      <c r="A52" s="2" t="inlineStr">
        <is>
          <t>149531</t>
        </is>
      </c>
      <c r="B52" s="2" t="inlineStr">
        <is>
          <t>SEASONED SAVORY WEDGE 10-CUT</t>
        </is>
      </c>
      <c r="C52" s="2" t="inlineStr">
        <is>
          <t>JR SIMPLOT COMPANY</t>
        </is>
      </c>
      <c r="D52" s="2" t="n">
        <v>368</v>
      </c>
      <c r="E52" s="2" t="n">
        <v>324</v>
      </c>
      <c r="F52" s="2" t="n">
        <v>162</v>
      </c>
      <c r="G52" s="2" t="inlineStr">
        <is>
          <t>2026/03/13</t>
        </is>
      </c>
      <c r="H52" s="2" t="inlineStr">
        <is>
          <t>PO</t>
        </is>
      </c>
      <c r="I52" s="2" t="inlineStr">
        <is>
          <t>No</t>
        </is>
      </c>
      <c r="J52" s="2" t="inlineStr"/>
      <c r="K52" s="2" t="n">
        <v>465</v>
      </c>
      <c r="L52" s="2">
        <f>D52 + (E52 - F52)</f>
        <v/>
      </c>
      <c r="M52" s="2">
        <f>MAX(0, K52 - L52)</f>
        <v/>
      </c>
      <c r="N52" s="2" t="n">
        <v>108</v>
      </c>
      <c r="O52" s="2" t="n">
        <v>0</v>
      </c>
      <c r="P52" s="2" t="n">
        <v>0</v>
      </c>
      <c r="Q52" s="2">
        <f>N52 - P52</f>
        <v/>
      </c>
      <c r="R52" s="4" t="inlineStr">
        <is>
          <t>PO NOT Needed</t>
        </is>
      </c>
      <c r="S52" s="2" t="inlineStr">
        <is>
          <t>NC has enough on hand + on order (excl. this PO) to cover open sales</t>
        </is>
      </c>
    </row>
    <row r="53">
      <c r="A53" s="2" t="inlineStr">
        <is>
          <t>149613</t>
        </is>
      </c>
      <c r="B53" s="2" t="inlineStr">
        <is>
          <t>KICKIN TENDERS</t>
        </is>
      </c>
      <c r="C53" s="2" t="inlineStr">
        <is>
          <t>SEATTLE FOOD TECH DBA REBELLYOUS FOODS</t>
        </is>
      </c>
      <c r="D53" s="2" t="n">
        <v>696</v>
      </c>
      <c r="E53" s="2" t="n">
        <v>238</v>
      </c>
      <c r="F53" s="2" t="n">
        <v>238</v>
      </c>
      <c r="G53" s="2" t="inlineStr">
        <is>
          <t>2026/03/15</t>
        </is>
      </c>
      <c r="H53" s="2" t="inlineStr">
        <is>
          <t>PO</t>
        </is>
      </c>
      <c r="I53" s="2" t="inlineStr">
        <is>
          <t>No</t>
        </is>
      </c>
      <c r="J53" s="2" t="inlineStr"/>
      <c r="K53" s="2" t="n">
        <v>178</v>
      </c>
      <c r="L53" s="2">
        <f>D53 + (E53 - F53)</f>
        <v/>
      </c>
      <c r="M53" s="2">
        <f>MAX(0, K53 - L53)</f>
        <v/>
      </c>
      <c r="N53" s="2" t="n">
        <v>64</v>
      </c>
      <c r="O53" s="2" t="n">
        <v>0</v>
      </c>
      <c r="P53" s="2" t="n">
        <v>0</v>
      </c>
      <c r="Q53" s="2">
        <f>N53 - P53</f>
        <v/>
      </c>
      <c r="R53" s="4" t="inlineStr">
        <is>
          <t>PO NOT Needed</t>
        </is>
      </c>
      <c r="S53" s="2" t="inlineStr">
        <is>
          <t>NC has enough on hand + on order (excl. this PO) to cover open sales</t>
        </is>
      </c>
    </row>
    <row r="54">
      <c r="A54" s="2" t="inlineStr">
        <is>
          <t>149680</t>
        </is>
      </c>
      <c r="B54" s="2" t="inlineStr">
        <is>
          <t>SMOOTHIE YOGURT MANGO PINAPPLE</t>
        </is>
      </c>
      <c r="C54" s="2" t="inlineStr">
        <is>
          <t>BAR FRESH CORP INC</t>
        </is>
      </c>
      <c r="D54" s="2" t="n">
        <v>73</v>
      </c>
      <c r="E54" s="2" t="n">
        <v>144</v>
      </c>
      <c r="F54" s="2" t="n">
        <v>144</v>
      </c>
      <c r="G54" s="2" t="inlineStr">
        <is>
          <t>2026/03/20</t>
        </is>
      </c>
      <c r="H54" s="2" t="inlineStr">
        <is>
          <t>PO</t>
        </is>
      </c>
      <c r="I54" s="2" t="inlineStr">
        <is>
          <t>No</t>
        </is>
      </c>
      <c r="J54" s="2" t="inlineStr"/>
      <c r="K54" s="2" t="n">
        <v>4</v>
      </c>
      <c r="L54" s="2">
        <f>D54 + (E54 - F54)</f>
        <v/>
      </c>
      <c r="M54" s="2">
        <f>MAX(0, K54 - L54)</f>
        <v/>
      </c>
      <c r="N54" s="2" t="n">
        <v>321</v>
      </c>
      <c r="O54" s="2" t="n">
        <v>0</v>
      </c>
      <c r="P54" s="2" t="n">
        <v>0</v>
      </c>
      <c r="Q54" s="2">
        <f>N54 - P54</f>
        <v/>
      </c>
      <c r="R54" s="4" t="inlineStr">
        <is>
          <t>PO NOT Needed</t>
        </is>
      </c>
      <c r="S54" s="2" t="inlineStr">
        <is>
          <t>NC has enough on hand + on order (excl. this PO) to cover open sales</t>
        </is>
      </c>
    </row>
    <row r="55">
      <c r="A55" s="2" t="inlineStr">
        <is>
          <t>149681</t>
        </is>
      </c>
      <c r="B55" s="2" t="inlineStr">
        <is>
          <t>SMOOTHIE YOGURT STRAW BANANA</t>
        </is>
      </c>
      <c r="C55" s="2" t="inlineStr">
        <is>
          <t>BAR FRESH CORP INC</t>
        </is>
      </c>
      <c r="D55" s="2" t="n">
        <v>139</v>
      </c>
      <c r="E55" s="2" t="n">
        <v>144</v>
      </c>
      <c r="F55" s="2" t="n">
        <v>144</v>
      </c>
      <c r="G55" s="2" t="inlineStr">
        <is>
          <t>2026/03/20</t>
        </is>
      </c>
      <c r="H55" s="2" t="inlineStr">
        <is>
          <t>PO</t>
        </is>
      </c>
      <c r="I55" s="2" t="inlineStr">
        <is>
          <t>No</t>
        </is>
      </c>
      <c r="J55" s="2" t="inlineStr"/>
      <c r="K55" s="2" t="n">
        <v>243</v>
      </c>
      <c r="L55" s="2">
        <f>D55 + (E55 - F55)</f>
        <v/>
      </c>
      <c r="M55" s="2">
        <f>MAX(0, K55 - L55)</f>
        <v/>
      </c>
      <c r="N55" s="2" t="n">
        <v>120</v>
      </c>
      <c r="O55" s="2" t="n">
        <v>0</v>
      </c>
      <c r="P55" s="2" t="n">
        <v>0</v>
      </c>
      <c r="Q55" s="2">
        <f>N55 - P55</f>
        <v/>
      </c>
      <c r="R55" s="4" t="inlineStr">
        <is>
          <t>PO NOT Needed</t>
        </is>
      </c>
      <c r="S55" s="2" t="inlineStr">
        <is>
          <t>CIC surplus of 120 can cover NC shortfall of 104</t>
        </is>
      </c>
    </row>
    <row r="56">
      <c r="A56" s="2" t="inlineStr">
        <is>
          <t>149718</t>
        </is>
      </c>
      <c r="B56" s="2" t="inlineStr">
        <is>
          <t>PITA WG</t>
        </is>
      </c>
      <c r="C56" s="2" t="inlineStr">
        <is>
          <t>ATORIA'S BAKING COMPANY</t>
        </is>
      </c>
      <c r="D56" s="2" t="n">
        <v>0</v>
      </c>
      <c r="E56" s="2" t="n">
        <v>48</v>
      </c>
      <c r="F56" s="2" t="n">
        <v>48</v>
      </c>
      <c r="G56" s="2" t="inlineStr">
        <is>
          <t>2026/03/06</t>
        </is>
      </c>
      <c r="H56" s="2" t="inlineStr">
        <is>
          <t>PO</t>
        </is>
      </c>
      <c r="I56" s="2" t="inlineStr">
        <is>
          <t>No</t>
        </is>
      </c>
      <c r="J56" s="2" t="inlineStr"/>
      <c r="K56" s="2" t="n">
        <v>34</v>
      </c>
      <c r="L56" s="2">
        <f>D56 + (E56 - F56)</f>
        <v/>
      </c>
      <c r="M56" s="2">
        <f>MAX(0, K56 - L56)</f>
        <v/>
      </c>
      <c r="N56" s="2" t="n">
        <v>102</v>
      </c>
      <c r="O56" s="2" t="n">
        <v>0</v>
      </c>
      <c r="P56" s="2" t="n">
        <v>0</v>
      </c>
      <c r="Q56" s="2">
        <f>N56 - P56</f>
        <v/>
      </c>
      <c r="R56" s="4" t="inlineStr">
        <is>
          <t>PO NOT Needed</t>
        </is>
      </c>
      <c r="S56" s="2" t="inlineStr">
        <is>
          <t>CIC surplus of 102 can cover NC shortfall of 34</t>
        </is>
      </c>
    </row>
    <row r="57">
      <c r="A57" s="2" t="inlineStr">
        <is>
          <t>154276</t>
        </is>
      </c>
      <c r="B57" s="2" t="inlineStr">
        <is>
          <t>SUN UP BLEND</t>
        </is>
      </c>
      <c r="C57" s="2" t="inlineStr">
        <is>
          <t>WAWONA FROZEN FOOD INC</t>
        </is>
      </c>
      <c r="D57" s="2" t="n">
        <v>0</v>
      </c>
      <c r="E57" s="2" t="n">
        <v>4</v>
      </c>
      <c r="F57" s="2" t="n">
        <v>4</v>
      </c>
      <c r="G57" s="2" t="inlineStr">
        <is>
          <t>2026/03/13</t>
        </is>
      </c>
      <c r="H57" s="2" t="inlineStr">
        <is>
          <t>PO</t>
        </is>
      </c>
      <c r="I57" s="2" t="inlineStr">
        <is>
          <t>No</t>
        </is>
      </c>
      <c r="J57" s="2" t="inlineStr"/>
      <c r="K57" s="2" t="n">
        <v>11</v>
      </c>
      <c r="L57" s="2">
        <f>D57 + (E57 - F57)</f>
        <v/>
      </c>
      <c r="M57" s="2">
        <f>MAX(0, K57 - L57)</f>
        <v/>
      </c>
      <c r="N57" s="2" t="n">
        <v>628</v>
      </c>
      <c r="O57" s="2" t="n">
        <v>0</v>
      </c>
      <c r="P57" s="2" t="n">
        <v>0</v>
      </c>
      <c r="Q57" s="2">
        <f>N57 - P57</f>
        <v/>
      </c>
      <c r="R57" s="4" t="inlineStr">
        <is>
          <t>PO NOT Needed</t>
        </is>
      </c>
      <c r="S57" s="2" t="inlineStr">
        <is>
          <t>CIC surplus of 628 can cover NC shortfall of 11</t>
        </is>
      </c>
    </row>
    <row r="58">
      <c r="A58" s="2" t="inlineStr">
        <is>
          <t>154281</t>
        </is>
      </c>
      <c r="B58" s="2" t="inlineStr">
        <is>
          <t>SANDWICH STRAWBERRY SUNBUTTER</t>
        </is>
      </c>
      <c r="C58" s="2" t="inlineStr">
        <is>
          <t>JSB INDUSTRIES - MUFFINTOWN</t>
        </is>
      </c>
      <c r="D58" s="2" t="n">
        <v>74</v>
      </c>
      <c r="E58" s="2" t="n">
        <v>70</v>
      </c>
      <c r="F58" s="2" t="n">
        <v>70</v>
      </c>
      <c r="G58" s="2" t="inlineStr">
        <is>
          <t>2026/03/13</t>
        </is>
      </c>
      <c r="H58" s="3" t="inlineStr">
        <is>
          <t>Transfer Order</t>
        </is>
      </c>
      <c r="I58" s="2" t="inlineStr">
        <is>
          <t>No</t>
        </is>
      </c>
      <c r="J58" s="2" t="inlineStr">
        <is>
          <t>NC-TO007786</t>
        </is>
      </c>
      <c r="K58" s="2" t="n">
        <v>47</v>
      </c>
      <c r="L58" s="2">
        <f>D58 + E58</f>
        <v/>
      </c>
      <c r="M58" s="2">
        <f>MAX(0, K58 - L58)</f>
        <v/>
      </c>
      <c r="N58" s="2" t="n">
        <v>70</v>
      </c>
      <c r="O58" s="2" t="n">
        <v>0</v>
      </c>
      <c r="P58" s="2" t="n">
        <v>0</v>
      </c>
      <c r="Q58" s="2">
        <f>N58 - P58</f>
        <v/>
      </c>
      <c r="R58" s="4" t="inlineStr">
        <is>
          <t>PO NOT Needed</t>
        </is>
      </c>
      <c r="S58" s="2" t="inlineStr">
        <is>
          <t>NC has enough on hand + on order (excl. this PO) to cover open sales</t>
        </is>
      </c>
    </row>
    <row r="59">
      <c r="A59" s="2" t="inlineStr">
        <is>
          <t>154284</t>
        </is>
      </c>
      <c r="B59" s="2" t="inlineStr">
        <is>
          <t>DONUT MINI CHOC GLAZED CUP</t>
        </is>
      </c>
      <c r="C59" s="2" t="inlineStr">
        <is>
          <t>SUPER BAKERY</t>
        </is>
      </c>
      <c r="D59" s="2" t="n">
        <v>100</v>
      </c>
      <c r="E59" s="2" t="n">
        <v>27</v>
      </c>
      <c r="F59" s="2" t="n">
        <v>27</v>
      </c>
      <c r="G59" s="2" t="inlineStr">
        <is>
          <t>2026/03/20</t>
        </is>
      </c>
      <c r="H59" s="2" t="inlineStr">
        <is>
          <t>PO</t>
        </is>
      </c>
      <c r="I59" s="2" t="inlineStr">
        <is>
          <t>No</t>
        </is>
      </c>
      <c r="J59" s="2" t="inlineStr"/>
      <c r="K59" s="2" t="n">
        <v>11</v>
      </c>
      <c r="L59" s="2">
        <f>D59 + (E59 - F59)</f>
        <v/>
      </c>
      <c r="M59" s="2">
        <f>MAX(0, K59 - L59)</f>
        <v/>
      </c>
      <c r="N59" s="2" t="n">
        <v>72</v>
      </c>
      <c r="O59" s="2" t="n">
        <v>0</v>
      </c>
      <c r="P59" s="2" t="n">
        <v>0</v>
      </c>
      <c r="Q59" s="2">
        <f>N59 - P59</f>
        <v/>
      </c>
      <c r="R59" s="4" t="inlineStr">
        <is>
          <t>PO NOT Needed</t>
        </is>
      </c>
      <c r="S59" s="2" t="inlineStr">
        <is>
          <t>NC has enough on hand + on order (excl. this PO) to cover open sales</t>
        </is>
      </c>
    </row>
    <row r="60">
      <c r="A60" s="2" t="inlineStr">
        <is>
          <t>158621</t>
        </is>
      </c>
      <c r="B60" s="2" t="inlineStr">
        <is>
          <t>TORTILLA FLOUR WWW 10"</t>
        </is>
      </c>
      <c r="C60" s="2" t="inlineStr">
        <is>
          <t>ARANDA'S TORTILLA COMPANY</t>
        </is>
      </c>
      <c r="D60" s="2" t="n">
        <v>258</v>
      </c>
      <c r="E60" s="2" t="n">
        <v>168</v>
      </c>
      <c r="F60" s="2" t="n">
        <v>96</v>
      </c>
      <c r="G60" s="2" t="inlineStr">
        <is>
          <t>2026/03/11</t>
        </is>
      </c>
      <c r="H60" s="2" t="inlineStr">
        <is>
          <t>PO</t>
        </is>
      </c>
      <c r="I60" s="2" t="inlineStr">
        <is>
          <t>No</t>
        </is>
      </c>
      <c r="J60" s="2" t="inlineStr"/>
      <c r="K60" s="2" t="n">
        <v>62</v>
      </c>
      <c r="L60" s="2">
        <f>D60 + (E60 - F60)</f>
        <v/>
      </c>
      <c r="M60" s="2">
        <f>MAX(0, K60 - L60)</f>
        <v/>
      </c>
      <c r="N60" s="2" t="n">
        <v>144</v>
      </c>
      <c r="O60" s="2" t="n">
        <v>0</v>
      </c>
      <c r="P60" s="2" t="n">
        <v>0</v>
      </c>
      <c r="Q60" s="2">
        <f>N60 - P60</f>
        <v/>
      </c>
      <c r="R60" s="4" t="inlineStr">
        <is>
          <t>PO NOT Needed</t>
        </is>
      </c>
      <c r="S60" s="2" t="inlineStr">
        <is>
          <t>NC has enough on hand + on order (excl. this PO) to cover open sales</t>
        </is>
      </c>
    </row>
    <row r="61">
      <c r="A61" s="2" t="inlineStr">
        <is>
          <t>158783</t>
        </is>
      </c>
      <c r="B61" s="2" t="inlineStr">
        <is>
          <t>FRIES SHOESTRING 1/4"</t>
        </is>
      </c>
      <c r="C61" s="2" t="inlineStr">
        <is>
          <t>JR SIMPLOT COMPANY</t>
        </is>
      </c>
      <c r="D61" s="2" t="n">
        <v>284</v>
      </c>
      <c r="E61" s="2" t="n">
        <v>81</v>
      </c>
      <c r="F61" s="2" t="n">
        <v>81</v>
      </c>
      <c r="G61" s="2" t="inlineStr">
        <is>
          <t>2026/03/20</t>
        </is>
      </c>
      <c r="H61" s="2" t="inlineStr">
        <is>
          <t>PO</t>
        </is>
      </c>
      <c r="I61" s="2" t="inlineStr">
        <is>
          <t>No</t>
        </is>
      </c>
      <c r="J61" s="2" t="inlineStr"/>
      <c r="K61" s="2" t="n">
        <v>378</v>
      </c>
      <c r="L61" s="2">
        <f>D61 + (E61 - F61)</f>
        <v/>
      </c>
      <c r="M61" s="2">
        <f>MAX(0, K61 - L61)</f>
        <v/>
      </c>
      <c r="N61" s="2" t="n">
        <v>63</v>
      </c>
      <c r="O61" s="2" t="n">
        <v>0</v>
      </c>
      <c r="P61" s="2" t="n">
        <v>0</v>
      </c>
      <c r="Q61" s="2">
        <f>N61 - P61</f>
        <v/>
      </c>
      <c r="R61" s="6" t="inlineStr">
        <is>
          <t>PO Partially Needed</t>
        </is>
      </c>
      <c r="S61" s="2" t="inlineStr">
        <is>
          <t>CIC covers 63 of 94 shortfall; still need 31</t>
        </is>
      </c>
    </row>
    <row r="62">
      <c r="A62" s="2" t="inlineStr">
        <is>
          <t>159041</t>
        </is>
      </c>
      <c r="B62" s="2" t="inlineStr">
        <is>
          <t>JUICE ORANGE 100% PAPER CARTON</t>
        </is>
      </c>
      <c r="C62" s="2" t="inlineStr">
        <is>
          <t>SUNCUP GREGORY PACKAGING</t>
        </is>
      </c>
      <c r="D62" s="2" t="n">
        <v>122</v>
      </c>
      <c r="E62" s="2" t="n">
        <v>80</v>
      </c>
      <c r="F62" s="2" t="n">
        <v>80</v>
      </c>
      <c r="G62" s="2" t="inlineStr">
        <is>
          <t>2026/03/11</t>
        </is>
      </c>
      <c r="H62" s="3" t="inlineStr">
        <is>
          <t>Transfer Order</t>
        </is>
      </c>
      <c r="I62" s="2" t="inlineStr">
        <is>
          <t>No</t>
        </is>
      </c>
      <c r="J62" s="2" t="inlineStr">
        <is>
          <t>NC-TO007784</t>
        </is>
      </c>
      <c r="K62" s="2" t="n">
        <v>288</v>
      </c>
      <c r="L62" s="2">
        <f>D62 + E62</f>
        <v/>
      </c>
      <c r="M62" s="2">
        <f>MAX(0, K62 - L62)</f>
        <v/>
      </c>
      <c r="N62" s="2" t="n">
        <v>240</v>
      </c>
      <c r="O62" s="2" t="n">
        <v>0</v>
      </c>
      <c r="P62" s="2" t="n">
        <v>0</v>
      </c>
      <c r="Q62" s="2">
        <f>N62 - P62</f>
        <v/>
      </c>
      <c r="R62" s="4" t="inlineStr">
        <is>
          <t>PO NOT Needed</t>
        </is>
      </c>
      <c r="S62" s="2" t="inlineStr">
        <is>
          <t>CIC surplus of 240 can cover NC shortfall of 86</t>
        </is>
      </c>
    </row>
    <row r="63">
      <c r="A63" s="2" t="inlineStr">
        <is>
          <t>200970</t>
        </is>
      </c>
      <c r="B63" s="2" t="inlineStr">
        <is>
          <t>MEDIUM WEIGHT WHITE FORK</t>
        </is>
      </c>
      <c r="C63" s="2" t="inlineStr">
        <is>
          <t>GOLDMAX INDUSTRIES INC</t>
        </is>
      </c>
      <c r="D63" s="2" t="n">
        <v>27</v>
      </c>
      <c r="E63" s="2" t="n">
        <v>17</v>
      </c>
      <c r="F63" s="2" t="n">
        <v>17</v>
      </c>
      <c r="G63" s="2" t="inlineStr">
        <is>
          <t>2026/03/12</t>
        </is>
      </c>
      <c r="H63" s="3" t="inlineStr">
        <is>
          <t>Transfer Order</t>
        </is>
      </c>
      <c r="I63" s="2" t="inlineStr">
        <is>
          <t>No</t>
        </is>
      </c>
      <c r="J63" s="2" t="inlineStr">
        <is>
          <t>NC-TO007834</t>
        </is>
      </c>
      <c r="K63" s="2" t="n">
        <v>15</v>
      </c>
      <c r="L63" s="2">
        <f>D63 + E63</f>
        <v/>
      </c>
      <c r="M63" s="2">
        <f>MAX(0, K63 - L63)</f>
        <v/>
      </c>
      <c r="N63" s="2" t="n">
        <v>138</v>
      </c>
      <c r="O63" s="2" t="n">
        <v>0</v>
      </c>
      <c r="P63" s="2" t="n">
        <v>0</v>
      </c>
      <c r="Q63" s="2">
        <f>N63 - P63</f>
        <v/>
      </c>
      <c r="R63" s="4" t="inlineStr">
        <is>
          <t>PO NOT Needed</t>
        </is>
      </c>
      <c r="S63" s="2" t="inlineStr">
        <is>
          <t>NC has enough on hand + on order (excl. this PO) to cover open sales</t>
        </is>
      </c>
    </row>
    <row r="64">
      <c r="A64" s="2" t="inlineStr">
        <is>
          <t>201910</t>
        </is>
      </c>
      <c r="B64" s="2" t="inlineStr">
        <is>
          <t>TACO SAUCE PACKETS IW</t>
        </is>
      </c>
      <c r="C64" s="2" t="inlineStr">
        <is>
          <t>KRAFT HEINZ FOODS CO-DRY</t>
        </is>
      </c>
      <c r="D64" s="2" t="n">
        <v>347</v>
      </c>
      <c r="E64" s="2" t="n">
        <v>300</v>
      </c>
      <c r="F64" s="2" t="n">
        <v>40</v>
      </c>
      <c r="G64" s="2" t="inlineStr">
        <is>
          <t>2026/03/12</t>
        </is>
      </c>
      <c r="H64" s="2" t="inlineStr">
        <is>
          <t>PO</t>
        </is>
      </c>
      <c r="I64" s="2" t="inlineStr">
        <is>
          <t>No</t>
        </is>
      </c>
      <c r="J64" s="2" t="inlineStr"/>
      <c r="K64" s="2" t="n">
        <v>198</v>
      </c>
      <c r="L64" s="2">
        <f>D64 + (E64 - F64)</f>
        <v/>
      </c>
      <c r="M64" s="2">
        <f>MAX(0, K64 - L64)</f>
        <v/>
      </c>
      <c r="N64" s="2" t="n">
        <v>0</v>
      </c>
      <c r="O64" s="2" t="n">
        <v>0</v>
      </c>
      <c r="P64" s="2" t="n">
        <v>0</v>
      </c>
      <c r="Q64" s="2">
        <f>N64 - P64</f>
        <v/>
      </c>
      <c r="R64" s="4" t="inlineStr">
        <is>
          <t>PO NOT Needed</t>
        </is>
      </c>
      <c r="S64" s="2" t="inlineStr">
        <is>
          <t>NC has enough on hand + on order (excl. this PO) to cover open sales</t>
        </is>
      </c>
    </row>
    <row r="65">
      <c r="A65" s="2" t="inlineStr">
        <is>
          <t>209909</t>
        </is>
      </c>
      <c r="B65" s="2" t="inlineStr">
        <is>
          <t>WATER WITH SPORTSCAP</t>
        </is>
      </c>
      <c r="C65" s="2" t="inlineStr">
        <is>
          <t>C G ROXANE</t>
        </is>
      </c>
      <c r="D65" s="2" t="n">
        <v>87</v>
      </c>
      <c r="E65" s="2" t="n">
        <v>90</v>
      </c>
      <c r="F65" s="2" t="n">
        <v>90</v>
      </c>
      <c r="G65" s="2" t="inlineStr">
        <is>
          <t>2026/03/12</t>
        </is>
      </c>
      <c r="H65" s="2" t="inlineStr">
        <is>
          <t>PO</t>
        </is>
      </c>
      <c r="I65" s="2" t="inlineStr">
        <is>
          <t>No</t>
        </is>
      </c>
      <c r="J65" s="2" t="inlineStr"/>
      <c r="K65" s="2" t="n">
        <v>33</v>
      </c>
      <c r="L65" s="2">
        <f>D65 + (E65 - F65)</f>
        <v/>
      </c>
      <c r="M65" s="2">
        <f>MAX(0, K65 - L65)</f>
        <v/>
      </c>
      <c r="N65" s="2" t="n">
        <v>178</v>
      </c>
      <c r="O65" s="2" t="n">
        <v>0</v>
      </c>
      <c r="P65" s="2" t="n">
        <v>0</v>
      </c>
      <c r="Q65" s="2">
        <f>N65 - P65</f>
        <v/>
      </c>
      <c r="R65" s="4" t="inlineStr">
        <is>
          <t>PO NOT Needed</t>
        </is>
      </c>
      <c r="S65" s="2" t="inlineStr">
        <is>
          <t>NC has enough on hand + on order (excl. this PO) to cover open sales</t>
        </is>
      </c>
    </row>
    <row r="66">
      <c r="A66" s="2" t="inlineStr">
        <is>
          <t>248713</t>
        </is>
      </c>
      <c r="B66" s="2" t="inlineStr">
        <is>
          <t>WATER SPRING</t>
        </is>
      </c>
      <c r="C66" s="2" t="inlineStr">
        <is>
          <t>C G ROXANE</t>
        </is>
      </c>
      <c r="D66" s="2" t="n">
        <v>1024</v>
      </c>
      <c r="E66" s="2" t="n">
        <v>1026</v>
      </c>
      <c r="F66" s="2" t="n">
        <v>1026</v>
      </c>
      <c r="G66" s="2" t="inlineStr">
        <is>
          <t>2026/03/14</t>
        </is>
      </c>
      <c r="H66" s="2" t="inlineStr">
        <is>
          <t>PO</t>
        </is>
      </c>
      <c r="I66" s="2" t="inlineStr">
        <is>
          <t>No</t>
        </is>
      </c>
      <c r="J66" s="2" t="inlineStr"/>
      <c r="K66" s="2" t="n">
        <v>288</v>
      </c>
      <c r="L66" s="2">
        <f>D66 + (E66 - F66)</f>
        <v/>
      </c>
      <c r="M66" s="2">
        <f>MAX(0, K66 - L66)</f>
        <v/>
      </c>
      <c r="N66" s="2" t="n">
        <v>1161</v>
      </c>
      <c r="O66" s="2" t="n">
        <v>0</v>
      </c>
      <c r="P66" s="2" t="n">
        <v>0</v>
      </c>
      <c r="Q66" s="2">
        <f>N66 - P66</f>
        <v/>
      </c>
      <c r="R66" s="4" t="inlineStr">
        <is>
          <t>PO NOT Needed</t>
        </is>
      </c>
      <c r="S66" s="2" t="inlineStr">
        <is>
          <t>NC has enough on hand + on order (excl. this PO) to cover open sales</t>
        </is>
      </c>
    </row>
    <row r="67">
      <c r="A67" s="2" t="inlineStr">
        <is>
          <t>260021</t>
        </is>
      </c>
      <c r="B67" s="2" t="inlineStr">
        <is>
          <t>LID PAPER 2 OZ - 4 OZ KRAFT</t>
        </is>
      </c>
      <c r="C67" s="2" t="inlineStr">
        <is>
          <t>RJ SCHINNER CO INC</t>
        </is>
      </c>
      <c r="D67" s="2" t="n">
        <v>0</v>
      </c>
      <c r="E67" s="2" t="n">
        <v>4</v>
      </c>
      <c r="F67" s="2" t="n">
        <v>4</v>
      </c>
      <c r="G67" s="2" t="inlineStr">
        <is>
          <t>2026/03/06</t>
        </is>
      </c>
      <c r="H67" s="2" t="inlineStr">
        <is>
          <t>PO</t>
        </is>
      </c>
      <c r="I67" s="2" t="inlineStr">
        <is>
          <t>No</t>
        </is>
      </c>
      <c r="J67" s="2" t="inlineStr"/>
      <c r="K67" s="2" t="n">
        <v>4</v>
      </c>
      <c r="L67" s="2">
        <f>D67 + (E67 - F67)</f>
        <v/>
      </c>
      <c r="M67" s="2">
        <f>MAX(0, K67 - L67)</f>
        <v/>
      </c>
      <c r="N67" s="2" t="n">
        <v>9</v>
      </c>
      <c r="O67" s="2" t="n">
        <v>0</v>
      </c>
      <c r="P67" s="2" t="n">
        <v>0</v>
      </c>
      <c r="Q67" s="2">
        <f>N67 - P67</f>
        <v/>
      </c>
      <c r="R67" s="4" t="inlineStr">
        <is>
          <t>PO NOT Needed</t>
        </is>
      </c>
      <c r="S67" s="2" t="inlineStr">
        <is>
          <t>CIC surplus of 9 can cover NC shortfall of 4</t>
        </is>
      </c>
    </row>
    <row r="68">
      <c r="A68" s="2" t="inlineStr">
        <is>
          <t>260178</t>
        </is>
      </c>
      <c r="B68" s="2" t="inlineStr">
        <is>
          <t>ONION CHOPPED DEHYDRATED</t>
        </is>
      </c>
      <c r="C68" s="2" t="inlineStr">
        <is>
          <t>TAMPICO SPICE COMPANY</t>
        </is>
      </c>
      <c r="D68" s="2" t="n">
        <v>0</v>
      </c>
      <c r="E68" s="2" t="n">
        <v>1</v>
      </c>
      <c r="F68" s="2" t="n">
        <v>1</v>
      </c>
      <c r="G68" s="2" t="inlineStr">
        <is>
          <t>2026/03/11</t>
        </is>
      </c>
      <c r="H68" s="2" t="inlineStr">
        <is>
          <t>PO</t>
        </is>
      </c>
      <c r="I68" s="2" t="inlineStr">
        <is>
          <t>No</t>
        </is>
      </c>
      <c r="J68" s="2" t="inlineStr"/>
      <c r="K68" s="2" t="n">
        <v>2</v>
      </c>
      <c r="L68" s="2">
        <f>D68 + (E68 - F68)</f>
        <v/>
      </c>
      <c r="M68" s="2">
        <f>MAX(0, K68 - L68)</f>
        <v/>
      </c>
      <c r="N68" s="2" t="n">
        <v>6</v>
      </c>
      <c r="O68" s="2" t="n">
        <v>0</v>
      </c>
      <c r="P68" s="2" t="n">
        <v>0</v>
      </c>
      <c r="Q68" s="2">
        <f>N68 - P68</f>
        <v/>
      </c>
      <c r="R68" s="4" t="inlineStr">
        <is>
          <t>PO NOT Needed</t>
        </is>
      </c>
      <c r="S68" s="2" t="inlineStr">
        <is>
          <t>CIC surplus of 6 can cover NC shortfall of 2</t>
        </is>
      </c>
    </row>
    <row r="69">
      <c r="A69" s="2" t="inlineStr">
        <is>
          <t>260256</t>
        </is>
      </c>
      <c r="B69" s="2" t="inlineStr">
        <is>
          <t>LID MICROWAVABLE 14-20OZ CLEAR</t>
        </is>
      </c>
      <c r="C69" s="2" t="inlineStr">
        <is>
          <t>RJ SCHINNER CO INC</t>
        </is>
      </c>
      <c r="D69" s="2" t="n">
        <v>12</v>
      </c>
      <c r="E69" s="2" t="n">
        <v>1</v>
      </c>
      <c r="F69" s="2" t="n">
        <v>1</v>
      </c>
      <c r="G69" s="2" t="inlineStr">
        <is>
          <t>2026/03/11</t>
        </is>
      </c>
      <c r="H69" s="3" t="inlineStr">
        <is>
          <t>Transfer Order</t>
        </is>
      </c>
      <c r="I69" s="2" t="inlineStr">
        <is>
          <t>No</t>
        </is>
      </c>
      <c r="J69" s="2" t="inlineStr">
        <is>
          <t>NC-TO007784</t>
        </is>
      </c>
      <c r="K69" s="2" t="n">
        <v>15</v>
      </c>
      <c r="L69" s="2">
        <f>D69 + E69</f>
        <v/>
      </c>
      <c r="M69" s="2">
        <f>MAX(0, K69 - L69)</f>
        <v/>
      </c>
      <c r="N69" s="2" t="n">
        <v>1</v>
      </c>
      <c r="O69" s="2" t="n">
        <v>0</v>
      </c>
      <c r="P69" s="2" t="n">
        <v>0</v>
      </c>
      <c r="Q69" s="2">
        <f>N69 - P69</f>
        <v/>
      </c>
      <c r="R69" s="6" t="inlineStr">
        <is>
          <t>PO Partially Needed</t>
        </is>
      </c>
      <c r="S69" s="2" t="inlineStr">
        <is>
          <t>CIC covers 1 of 2 shortfall; still need 1</t>
        </is>
      </c>
    </row>
    <row r="70">
      <c r="A70" s="2" t="inlineStr">
        <is>
          <t>400048</t>
        </is>
      </c>
      <c r="B70" s="2" t="inlineStr">
        <is>
          <t>BURGER STEAK PUB</t>
        </is>
      </c>
      <c r="C70" s="2" t="inlineStr">
        <is>
          <t>ADVANCE PIERRE FOODS</t>
        </is>
      </c>
      <c r="D70" s="2" t="n">
        <v>341</v>
      </c>
      <c r="E70" s="2" t="n">
        <v>105</v>
      </c>
      <c r="F70" s="2" t="n">
        <v>105</v>
      </c>
      <c r="G70" s="2" t="inlineStr">
        <is>
          <t>2026/03/11</t>
        </is>
      </c>
      <c r="H70" s="2" t="inlineStr">
        <is>
          <t>PO</t>
        </is>
      </c>
      <c r="I70" s="2" t="inlineStr">
        <is>
          <t>No</t>
        </is>
      </c>
      <c r="J70" s="2" t="inlineStr"/>
      <c r="K70" s="2" t="n">
        <v>328</v>
      </c>
      <c r="L70" s="2">
        <f>D70 + (E70 - F70)</f>
        <v/>
      </c>
      <c r="M70" s="2">
        <f>MAX(0, K70 - L70)</f>
        <v/>
      </c>
      <c r="N70" s="2" t="n">
        <v>192</v>
      </c>
      <c r="O70" s="2" t="n">
        <v>0</v>
      </c>
      <c r="P70" s="2" t="n">
        <v>0</v>
      </c>
      <c r="Q70" s="2">
        <f>N70 - P70</f>
        <v/>
      </c>
      <c r="R70" s="4" t="inlineStr">
        <is>
          <t>PO NOT Needed</t>
        </is>
      </c>
      <c r="S70" s="2" t="inlineStr">
        <is>
          <t>NC has enough on hand + on order (excl. this PO) to cover open sales</t>
        </is>
      </c>
    </row>
    <row r="71">
      <c r="A71" s="2" t="inlineStr">
        <is>
          <t>400862</t>
        </is>
      </c>
      <c r="B71" s="2" t="inlineStr">
        <is>
          <t>CHICKEN FC DICED</t>
        </is>
      </c>
      <c r="C71" s="2" t="inlineStr">
        <is>
          <t>PILGRIMS PRIDE GOLD KIST CMDY</t>
        </is>
      </c>
      <c r="D71" s="2" t="n">
        <v>19</v>
      </c>
      <c r="E71" s="2" t="n">
        <v>112</v>
      </c>
      <c r="F71" s="2" t="n">
        <v>112</v>
      </c>
      <c r="G71" s="2" t="inlineStr">
        <is>
          <t>2026/03/08</t>
        </is>
      </c>
      <c r="H71" s="2" t="inlineStr">
        <is>
          <t>PO</t>
        </is>
      </c>
      <c r="I71" s="2" t="inlineStr">
        <is>
          <t>No</t>
        </is>
      </c>
      <c r="J71" s="2" t="inlineStr"/>
      <c r="K71" s="2" t="n">
        <v>64</v>
      </c>
      <c r="L71" s="2">
        <f>D71 + (E71 - F71)</f>
        <v/>
      </c>
      <c r="M71" s="2">
        <f>MAX(0, K71 - L71)</f>
        <v/>
      </c>
      <c r="N71" s="2" t="n">
        <v>168</v>
      </c>
      <c r="O71" s="2" t="n">
        <v>0</v>
      </c>
      <c r="P71" s="2" t="n">
        <v>0</v>
      </c>
      <c r="Q71" s="2">
        <f>N71 - P71</f>
        <v/>
      </c>
      <c r="R71" s="4" t="inlineStr">
        <is>
          <t>PO NOT Needed</t>
        </is>
      </c>
      <c r="S71" s="2" t="inlineStr">
        <is>
          <t>CIC surplus of 168 can cover NC shortfall of 45</t>
        </is>
      </c>
    </row>
    <row r="72">
      <c r="A72" s="2" t="inlineStr">
        <is>
          <t>401228</t>
        </is>
      </c>
      <c r="B72" s="2" t="inlineStr">
        <is>
          <t>FRIES CRINKLE CUT 3/8"</t>
        </is>
      </c>
      <c r="C72" s="2" t="inlineStr">
        <is>
          <t>McCAIN FOODS INC</t>
        </is>
      </c>
      <c r="D72" s="2" t="n">
        <v>649</v>
      </c>
      <c r="E72" s="2" t="n">
        <v>70</v>
      </c>
      <c r="F72" s="2" t="n">
        <v>70</v>
      </c>
      <c r="G72" s="2" t="inlineStr">
        <is>
          <t>2026/03/12</t>
        </is>
      </c>
      <c r="H72" s="2" t="inlineStr">
        <is>
          <t>PO</t>
        </is>
      </c>
      <c r="I72" s="2" t="inlineStr">
        <is>
          <t>No</t>
        </is>
      </c>
      <c r="J72" s="2" t="inlineStr"/>
      <c r="K72" s="2" t="n">
        <v>150</v>
      </c>
      <c r="L72" s="2">
        <f>D72 + (E72 - F72)</f>
        <v/>
      </c>
      <c r="M72" s="2">
        <f>MAX(0, K72 - L72)</f>
        <v/>
      </c>
      <c r="N72" s="2" t="n">
        <v>140</v>
      </c>
      <c r="O72" s="2" t="n">
        <v>0</v>
      </c>
      <c r="P72" s="2" t="n">
        <v>0</v>
      </c>
      <c r="Q72" s="2">
        <f>N72 - P72</f>
        <v/>
      </c>
      <c r="R72" s="4" t="inlineStr">
        <is>
          <t>PO NOT Needed</t>
        </is>
      </c>
      <c r="S72" s="2" t="inlineStr">
        <is>
          <t>NC has enough on hand + on order (excl. this PO) to cover open sales</t>
        </is>
      </c>
    </row>
    <row r="73">
      <c r="A73" s="2" t="inlineStr">
        <is>
          <t>401410</t>
        </is>
      </c>
      <c r="B73" s="2" t="inlineStr">
        <is>
          <t>STEAK BEEF FLAMEBROILED C&amp;F</t>
        </is>
      </c>
      <c r="C73" s="2" t="inlineStr">
        <is>
          <t>ADVANCE PIERRE FOODS</t>
        </is>
      </c>
      <c r="D73" s="2" t="n">
        <v>278</v>
      </c>
      <c r="E73" s="2" t="n">
        <v>420</v>
      </c>
      <c r="F73" s="2" t="n">
        <v>420</v>
      </c>
      <c r="G73" s="2" t="inlineStr">
        <is>
          <t>2026/03/11</t>
        </is>
      </c>
      <c r="H73" s="2" t="inlineStr">
        <is>
          <t>PO</t>
        </is>
      </c>
      <c r="I73" s="2" t="inlineStr">
        <is>
          <t>No</t>
        </is>
      </c>
      <c r="J73" s="2" t="inlineStr"/>
      <c r="K73" s="2" t="n">
        <v>484</v>
      </c>
      <c r="L73" s="2">
        <f>D73 + (E73 - F73)</f>
        <v/>
      </c>
      <c r="M73" s="2">
        <f>MAX(0, K73 - L73)</f>
        <v/>
      </c>
      <c r="N73" s="2" t="n">
        <v>385</v>
      </c>
      <c r="O73" s="2" t="n">
        <v>0</v>
      </c>
      <c r="P73" s="2" t="n">
        <v>0</v>
      </c>
      <c r="Q73" s="2">
        <f>N73 - P73</f>
        <v/>
      </c>
      <c r="R73" s="4" t="inlineStr">
        <is>
          <t>PO NOT Needed</t>
        </is>
      </c>
      <c r="S73" s="2" t="inlineStr">
        <is>
          <t>CIC surplus of 385 can cover NC shortfall of 206</t>
        </is>
      </c>
    </row>
    <row r="74">
      <c r="A74" s="2" t="inlineStr">
        <is>
          <t>401972</t>
        </is>
      </c>
      <c r="B74" s="2" t="inlineStr">
        <is>
          <t>SUNFLWER BUTTER &amp; GRP JLY SNDW</t>
        </is>
      </c>
      <c r="C74" s="2" t="inlineStr">
        <is>
          <t>JSB INDUSTRIES - MUFFINTOWN</t>
        </is>
      </c>
      <c r="D74" s="2" t="n">
        <v>78</v>
      </c>
      <c r="E74" s="2" t="n">
        <v>60</v>
      </c>
      <c r="F74" s="2" t="n">
        <v>60</v>
      </c>
      <c r="G74" s="2" t="inlineStr">
        <is>
          <t>2026/03/06</t>
        </is>
      </c>
      <c r="H74" s="2" t="inlineStr">
        <is>
          <t>PO</t>
        </is>
      </c>
      <c r="I74" s="2" t="inlineStr">
        <is>
          <t>No</t>
        </is>
      </c>
      <c r="J74" s="2" t="inlineStr"/>
      <c r="K74" s="2" t="n">
        <v>55</v>
      </c>
      <c r="L74" s="2">
        <f>D74 + (E74 - F74)</f>
        <v/>
      </c>
      <c r="M74" s="2">
        <f>MAX(0, K74 - L74)</f>
        <v/>
      </c>
      <c r="N74" s="2" t="n">
        <v>300</v>
      </c>
      <c r="O74" s="2" t="n">
        <v>0</v>
      </c>
      <c r="P74" s="2" t="n">
        <v>0</v>
      </c>
      <c r="Q74" s="2">
        <f>N74 - P74</f>
        <v/>
      </c>
      <c r="R74" s="4" t="inlineStr">
        <is>
          <t>PO NOT Needed</t>
        </is>
      </c>
      <c r="S74" s="2" t="inlineStr">
        <is>
          <t>NC has enough on hand + on order (excl. this PO) to cover open sales</t>
        </is>
      </c>
    </row>
    <row r="75">
      <c r="A75" s="2" t="inlineStr">
        <is>
          <t>403338</t>
        </is>
      </c>
      <c r="B75" s="2" t="inlineStr">
        <is>
          <t>PATTY MESQUITE BEEF</t>
        </is>
      </c>
      <c r="C75" s="2" t="inlineStr">
        <is>
          <t>DON LEE FARMS</t>
        </is>
      </c>
      <c r="D75" s="2" t="n">
        <v>33</v>
      </c>
      <c r="E75" s="2" t="n">
        <v>19</v>
      </c>
      <c r="F75" s="2" t="n">
        <v>9</v>
      </c>
      <c r="G75" s="2" t="inlineStr">
        <is>
          <t>2026/03/13</t>
        </is>
      </c>
      <c r="H75" s="3" t="inlineStr">
        <is>
          <t>Transfer Order</t>
        </is>
      </c>
      <c r="I75" s="2" t="inlineStr">
        <is>
          <t>No</t>
        </is>
      </c>
      <c r="J75" s="2" t="inlineStr">
        <is>
          <t>NC-TO007786</t>
        </is>
      </c>
      <c r="K75" s="2" t="n">
        <v>83</v>
      </c>
      <c r="L75" s="2">
        <f>D75 + E75</f>
        <v/>
      </c>
      <c r="M75" s="2">
        <f>MAX(0, K75 - L75)</f>
        <v/>
      </c>
      <c r="N75" s="2" t="n">
        <v>22</v>
      </c>
      <c r="O75" s="2" t="n">
        <v>0</v>
      </c>
      <c r="P75" s="2" t="n">
        <v>0</v>
      </c>
      <c r="Q75" s="2">
        <f>N75 - P75</f>
        <v/>
      </c>
      <c r="R75" s="6" t="inlineStr">
        <is>
          <t>PO Partially Needed</t>
        </is>
      </c>
      <c r="S75" s="2" t="inlineStr">
        <is>
          <t>CIC covers 22 of 31 shortfall; still need 9</t>
        </is>
      </c>
    </row>
    <row r="76">
      <c r="A76" s="2" t="inlineStr">
        <is>
          <t>403441</t>
        </is>
      </c>
      <c r="B76" s="2" t="inlineStr">
        <is>
          <t>MEATBALL CHICKEN FC</t>
        </is>
      </c>
      <c r="C76" s="2" t="inlineStr">
        <is>
          <t>TYSON COMMODITY COMMERCIAL</t>
        </is>
      </c>
      <c r="D76" s="2" t="n">
        <v>13</v>
      </c>
      <c r="E76" s="2" t="n">
        <v>16</v>
      </c>
      <c r="F76" s="2" t="n">
        <v>11</v>
      </c>
      <c r="G76" s="2" t="inlineStr">
        <is>
          <t>2026/03/10</t>
        </is>
      </c>
      <c r="H76" s="2" t="inlineStr">
        <is>
          <t>PO</t>
        </is>
      </c>
      <c r="I76" s="2" t="inlineStr">
        <is>
          <t>No</t>
        </is>
      </c>
      <c r="J76" s="2" t="inlineStr"/>
      <c r="K76" s="2" t="n">
        <v>75</v>
      </c>
      <c r="L76" s="2">
        <f>D76 + (E76 - F76)</f>
        <v/>
      </c>
      <c r="M76" s="2">
        <f>MAX(0, K76 - L76)</f>
        <v/>
      </c>
      <c r="N76" s="2" t="n">
        <v>110</v>
      </c>
      <c r="O76" s="2" t="n">
        <v>0</v>
      </c>
      <c r="P76" s="2" t="n">
        <v>0</v>
      </c>
      <c r="Q76" s="2">
        <f>N76 - P76</f>
        <v/>
      </c>
      <c r="R76" s="4" t="inlineStr">
        <is>
          <t>PO NOT Needed</t>
        </is>
      </c>
      <c r="S76" s="2" t="inlineStr">
        <is>
          <t>CIC surplus of 110 can cover NC shortfall of 57</t>
        </is>
      </c>
    </row>
    <row r="77">
      <c r="A77" s="2" t="inlineStr">
        <is>
          <t>403720</t>
        </is>
      </c>
      <c r="B77" s="2" t="inlineStr">
        <is>
          <t>PIZZA FRNCH BRD CHS WG BULK</t>
        </is>
      </c>
      <c r="C77" s="2" t="inlineStr">
        <is>
          <t>TONY ROBERTS COMPANY</t>
        </is>
      </c>
      <c r="D77" s="2" t="n">
        <v>189</v>
      </c>
      <c r="E77" s="2" t="n">
        <v>112</v>
      </c>
      <c r="F77" s="2" t="n">
        <v>112</v>
      </c>
      <c r="G77" s="2" t="inlineStr">
        <is>
          <t>2026/03/09</t>
        </is>
      </c>
      <c r="H77" s="2" t="inlineStr">
        <is>
          <t>PO</t>
        </is>
      </c>
      <c r="I77" s="2" t="inlineStr">
        <is>
          <t>No</t>
        </is>
      </c>
      <c r="J77" s="2" t="inlineStr"/>
      <c r="K77" s="2" t="n">
        <v>108</v>
      </c>
      <c r="L77" s="2">
        <f>D77 + (E77 - F77)</f>
        <v/>
      </c>
      <c r="M77" s="2">
        <f>MAX(0, K77 - L77)</f>
        <v/>
      </c>
      <c r="N77" s="2" t="n">
        <v>144</v>
      </c>
      <c r="O77" s="2" t="n">
        <v>0</v>
      </c>
      <c r="P77" s="2" t="n">
        <v>0</v>
      </c>
      <c r="Q77" s="2">
        <f>N77 - P77</f>
        <v/>
      </c>
      <c r="R77" s="4" t="inlineStr">
        <is>
          <t>PO NOT Needed</t>
        </is>
      </c>
      <c r="S77" s="2" t="inlineStr">
        <is>
          <t>NC has enough on hand + on order (excl. this PO) to cover open sales</t>
        </is>
      </c>
    </row>
    <row r="78">
      <c r="A78" s="2" t="inlineStr">
        <is>
          <t>403820</t>
        </is>
      </c>
      <c r="B78" s="2" t="inlineStr">
        <is>
          <t>CINNAMON CRUMBLE WG IW</t>
        </is>
      </c>
      <c r="C78" s="2" t="inlineStr">
        <is>
          <t>BUENA VISTA FOOD PRODUCTS</t>
        </is>
      </c>
      <c r="D78" s="2" t="n">
        <v>367</v>
      </c>
      <c r="E78" s="2" t="n">
        <v>624</v>
      </c>
      <c r="F78" s="2" t="n">
        <v>480</v>
      </c>
      <c r="G78" s="2" t="inlineStr">
        <is>
          <t>2026/03/13</t>
        </is>
      </c>
      <c r="H78" s="2" t="inlineStr">
        <is>
          <t>PO</t>
        </is>
      </c>
      <c r="I78" s="2" t="inlineStr">
        <is>
          <t>No</t>
        </is>
      </c>
      <c r="J78" s="2" t="inlineStr"/>
      <c r="K78" s="2" t="n">
        <v>750</v>
      </c>
      <c r="L78" s="2">
        <f>D78 + (E78 - F78)</f>
        <v/>
      </c>
      <c r="M78" s="2">
        <f>MAX(0, K78 - L78)</f>
        <v/>
      </c>
      <c r="N78" s="2" t="n">
        <v>96</v>
      </c>
      <c r="O78" s="2" t="n">
        <v>0</v>
      </c>
      <c r="P78" s="2" t="n">
        <v>0</v>
      </c>
      <c r="Q78" s="2">
        <f>N78 - P78</f>
        <v/>
      </c>
      <c r="R78" s="6" t="inlineStr">
        <is>
          <t>PO Partially Needed</t>
        </is>
      </c>
      <c r="S78" s="2" t="inlineStr">
        <is>
          <t>CIC covers 96 of 239 shortfall; still need 143</t>
        </is>
      </c>
    </row>
    <row r="79">
      <c r="A79" s="2" t="inlineStr">
        <is>
          <t>403855</t>
        </is>
      </c>
      <c r="B79" s="2" t="inlineStr">
        <is>
          <t>CHICKEN BREADED SMACKERS WG</t>
        </is>
      </c>
      <c r="C79" s="2" t="inlineStr">
        <is>
          <t>PILGRIMS PRIDE GOLD KIST CMDY</t>
        </is>
      </c>
      <c r="D79" s="2" t="n">
        <v>245</v>
      </c>
      <c r="E79" s="2" t="n">
        <v>144</v>
      </c>
      <c r="F79" s="2" t="n">
        <v>144</v>
      </c>
      <c r="G79" s="2" t="inlineStr">
        <is>
          <t>2026/03/08</t>
        </is>
      </c>
      <c r="H79" s="2" t="inlineStr">
        <is>
          <t>PO</t>
        </is>
      </c>
      <c r="I79" s="2" t="inlineStr">
        <is>
          <t>No</t>
        </is>
      </c>
      <c r="J79" s="2" t="inlineStr"/>
      <c r="K79" s="2" t="n">
        <v>179</v>
      </c>
      <c r="L79" s="2">
        <f>D79 + (E79 - F79)</f>
        <v/>
      </c>
      <c r="M79" s="2">
        <f>MAX(0, K79 - L79)</f>
        <v/>
      </c>
      <c r="N79" s="2" t="n">
        <v>96</v>
      </c>
      <c r="O79" s="2" t="n">
        <v>0</v>
      </c>
      <c r="P79" s="2" t="n">
        <v>0</v>
      </c>
      <c r="Q79" s="2">
        <f>N79 - P79</f>
        <v/>
      </c>
      <c r="R79" s="4" t="inlineStr">
        <is>
          <t>PO NOT Needed</t>
        </is>
      </c>
      <c r="S79" s="2" t="inlineStr">
        <is>
          <t>NC has enough on hand + on order (excl. this PO) to cover open sales</t>
        </is>
      </c>
    </row>
    <row r="80">
      <c r="A80" s="2" t="inlineStr">
        <is>
          <t>403859</t>
        </is>
      </c>
      <c r="B80" s="2" t="inlineStr">
        <is>
          <t>LUNCH KIT CHEESE PIZZA WG</t>
        </is>
      </c>
      <c r="C80" s="2" t="inlineStr">
        <is>
          <t>TASTY BRANDS LLC</t>
        </is>
      </c>
      <c r="D80" s="2" t="n">
        <v>189</v>
      </c>
      <c r="E80" s="2" t="n">
        <v>378</v>
      </c>
      <c r="F80" s="2" t="n">
        <v>216</v>
      </c>
      <c r="G80" s="2" t="inlineStr">
        <is>
          <t>2026/03/14</t>
        </is>
      </c>
      <c r="H80" s="2" t="inlineStr">
        <is>
          <t>PO</t>
        </is>
      </c>
      <c r="I80" s="2" t="inlineStr">
        <is>
          <t>No</t>
        </is>
      </c>
      <c r="J80" s="2" t="inlineStr"/>
      <c r="K80" s="2" t="n">
        <v>333</v>
      </c>
      <c r="L80" s="2">
        <f>D80 + (E80 - F80)</f>
        <v/>
      </c>
      <c r="M80" s="2">
        <f>MAX(0, K80 - L80)</f>
        <v/>
      </c>
      <c r="N80" s="2" t="n">
        <v>168</v>
      </c>
      <c r="O80" s="2" t="n">
        <v>0</v>
      </c>
      <c r="P80" s="2" t="n">
        <v>0</v>
      </c>
      <c r="Q80" s="2">
        <f>N80 - P80</f>
        <v/>
      </c>
      <c r="R80" s="4" t="inlineStr">
        <is>
          <t>PO NOT Needed</t>
        </is>
      </c>
      <c r="S80" s="2" t="inlineStr">
        <is>
          <t>NC has enough on hand + on order (excl. this PO) to cover open sales</t>
        </is>
      </c>
    </row>
    <row r="81">
      <c r="A81" s="2" t="inlineStr">
        <is>
          <t>403860</t>
        </is>
      </c>
      <c r="B81" s="2" t="inlineStr">
        <is>
          <t>LUNCH KIT TKY HAM &amp; CHEESE</t>
        </is>
      </c>
      <c r="C81" s="2" t="inlineStr">
        <is>
          <t>TASTY BRANDS LLC</t>
        </is>
      </c>
      <c r="D81" s="2" t="n">
        <v>95</v>
      </c>
      <c r="E81" s="2" t="n">
        <v>108</v>
      </c>
      <c r="F81" s="2" t="n">
        <v>108</v>
      </c>
      <c r="G81" s="2" t="inlineStr">
        <is>
          <t>2026/03/22</t>
        </is>
      </c>
      <c r="H81" s="2" t="inlineStr">
        <is>
          <t>PO</t>
        </is>
      </c>
      <c r="I81" s="2" t="inlineStr">
        <is>
          <t>No</t>
        </is>
      </c>
      <c r="J81" s="2" t="inlineStr"/>
      <c r="K81" s="2" t="n">
        <v>123</v>
      </c>
      <c r="L81" s="2">
        <f>D81 + (E81 - F81)</f>
        <v/>
      </c>
      <c r="M81" s="2">
        <f>MAX(0, K81 - L81)</f>
        <v/>
      </c>
      <c r="N81" s="2" t="n">
        <v>216</v>
      </c>
      <c r="O81" s="2" t="n">
        <v>0</v>
      </c>
      <c r="P81" s="2" t="n">
        <v>0</v>
      </c>
      <c r="Q81" s="2">
        <f>N81 - P81</f>
        <v/>
      </c>
      <c r="R81" s="4" t="inlineStr">
        <is>
          <t>PO NOT Needed</t>
        </is>
      </c>
      <c r="S81" s="2" t="inlineStr">
        <is>
          <t>CIC surplus of 216 can cover NC shortfall of 28</t>
        </is>
      </c>
    </row>
    <row r="82">
      <c r="A82" s="2" t="inlineStr">
        <is>
          <t>403909</t>
        </is>
      </c>
      <c r="B82" s="2" t="inlineStr">
        <is>
          <t>PIZZA 16" 10-CUT CHEESE WG</t>
        </is>
      </c>
      <c r="C82" s="2" t="inlineStr">
        <is>
          <t>S.A. PIAZZA &amp; ASSOC INC</t>
        </is>
      </c>
      <c r="D82" s="2" t="n">
        <v>224</v>
      </c>
      <c r="E82" s="2" t="n">
        <v>96</v>
      </c>
      <c r="F82" s="2" t="n">
        <v>96</v>
      </c>
      <c r="G82" s="2" t="inlineStr">
        <is>
          <t>2026/03/13</t>
        </is>
      </c>
      <c r="H82" s="2" t="inlineStr">
        <is>
          <t>PO</t>
        </is>
      </c>
      <c r="I82" s="2" t="inlineStr">
        <is>
          <t>No</t>
        </is>
      </c>
      <c r="J82" s="2" t="inlineStr"/>
      <c r="K82" s="2" t="n">
        <v>123</v>
      </c>
      <c r="L82" s="2">
        <f>D82 + (E82 - F82)</f>
        <v/>
      </c>
      <c r="M82" s="2">
        <f>MAX(0, K82 - L82)</f>
        <v/>
      </c>
      <c r="N82" s="2" t="n">
        <v>84</v>
      </c>
      <c r="O82" s="2" t="n">
        <v>0</v>
      </c>
      <c r="P82" s="2" t="n">
        <v>0</v>
      </c>
      <c r="Q82" s="2">
        <f>N82 - P82</f>
        <v/>
      </c>
      <c r="R82" s="4" t="inlineStr">
        <is>
          <t>PO NOT Needed</t>
        </is>
      </c>
      <c r="S82" s="2" t="inlineStr">
        <is>
          <t>NC has enough on hand + on order (excl. this PO) to cover open sales</t>
        </is>
      </c>
    </row>
    <row r="83">
      <c r="A83" s="2" t="inlineStr">
        <is>
          <t>403931</t>
        </is>
      </c>
      <c r="B83" s="2" t="inlineStr">
        <is>
          <t>TST FRENCH CINN GLZD STX WG CF</t>
        </is>
      </c>
      <c r="C83" s="2" t="inlineStr">
        <is>
          <t>MICHAEL FOODS INC</t>
        </is>
      </c>
      <c r="D83" s="2" t="n">
        <v>105</v>
      </c>
      <c r="E83" s="2" t="n">
        <v>24</v>
      </c>
      <c r="F83" s="2" t="n">
        <v>24</v>
      </c>
      <c r="G83" s="2" t="inlineStr">
        <is>
          <t>2026/03/18</t>
        </is>
      </c>
      <c r="H83" s="2" t="inlineStr">
        <is>
          <t>PO</t>
        </is>
      </c>
      <c r="I83" s="2" t="inlineStr">
        <is>
          <t>No</t>
        </is>
      </c>
      <c r="J83" s="2" t="inlineStr"/>
      <c r="K83" s="2" t="n">
        <v>47</v>
      </c>
      <c r="L83" s="2">
        <f>D83 + (E83 - F83)</f>
        <v/>
      </c>
      <c r="M83" s="2">
        <f>MAX(0, K83 - L83)</f>
        <v/>
      </c>
      <c r="N83" s="2" t="n">
        <v>72</v>
      </c>
      <c r="O83" s="2" t="n">
        <v>0</v>
      </c>
      <c r="P83" s="2" t="n">
        <v>0</v>
      </c>
      <c r="Q83" s="2">
        <f>N83 - P83</f>
        <v/>
      </c>
      <c r="R83" s="4" t="inlineStr">
        <is>
          <t>PO NOT Needed</t>
        </is>
      </c>
      <c r="S83" s="2" t="inlineStr">
        <is>
          <t>NC has enough on hand + on order (excl. this PO) to cover open sales</t>
        </is>
      </c>
    </row>
    <row r="84">
      <c r="A84" s="2" t="inlineStr">
        <is>
          <t>404035</t>
        </is>
      </c>
      <c r="B84" s="2" t="inlineStr">
        <is>
          <t>SND UNCRUSTABLE PB STRAW WG IW</t>
        </is>
      </c>
      <c r="C84" s="2" t="inlineStr">
        <is>
          <t>JM SMUCKER FOODSERVICE INC</t>
        </is>
      </c>
      <c r="D84" s="2" t="n">
        <v>253</v>
      </c>
      <c r="E84" s="2" t="n">
        <v>486</v>
      </c>
      <c r="F84" s="2" t="n">
        <v>486</v>
      </c>
      <c r="G84" s="2" t="inlineStr">
        <is>
          <t>2026/03/06</t>
        </is>
      </c>
      <c r="H84" s="2" t="inlineStr">
        <is>
          <t>PO</t>
        </is>
      </c>
      <c r="I84" s="2" t="inlineStr">
        <is>
          <t>No</t>
        </is>
      </c>
      <c r="J84" s="2" t="inlineStr"/>
      <c r="K84" s="2" t="n">
        <v>261</v>
      </c>
      <c r="L84" s="2">
        <f>D84 + (E84 - F84)</f>
        <v/>
      </c>
      <c r="M84" s="2">
        <f>MAX(0, K84 - L84)</f>
        <v/>
      </c>
      <c r="N84" s="2" t="n">
        <v>162</v>
      </c>
      <c r="O84" s="2" t="n">
        <v>0</v>
      </c>
      <c r="P84" s="2" t="n">
        <v>0</v>
      </c>
      <c r="Q84" s="2">
        <f>N84 - P84</f>
        <v/>
      </c>
      <c r="R84" s="4" t="inlineStr">
        <is>
          <t>PO NOT Needed</t>
        </is>
      </c>
      <c r="S84" s="2" t="inlineStr">
        <is>
          <t>CIC surplus of 162 can cover NC shortfall of 8</t>
        </is>
      </c>
    </row>
    <row r="85">
      <c r="A85" s="2" t="inlineStr">
        <is>
          <t>404614</t>
        </is>
      </c>
      <c r="B85" s="2" t="inlineStr">
        <is>
          <t>SND UNCRUSTABLE PB GRAPE WG IW</t>
        </is>
      </c>
      <c r="C85" s="2" t="inlineStr">
        <is>
          <t>JM SMUCKER FOODSERVICE INC</t>
        </is>
      </c>
      <c r="D85" s="2" t="n">
        <v>760</v>
      </c>
      <c r="E85" s="2" t="n">
        <v>150</v>
      </c>
      <c r="F85" s="2" t="n">
        <v>150</v>
      </c>
      <c r="G85" s="2" t="inlineStr">
        <is>
          <t>2026/03/06</t>
        </is>
      </c>
      <c r="H85" s="2" t="inlineStr">
        <is>
          <t>PO</t>
        </is>
      </c>
      <c r="I85" s="2" t="inlineStr">
        <is>
          <t>No</t>
        </is>
      </c>
      <c r="J85" s="2" t="inlineStr"/>
      <c r="K85" s="2" t="n">
        <v>292</v>
      </c>
      <c r="L85" s="2">
        <f>D85 + (E85 - F85)</f>
        <v/>
      </c>
      <c r="M85" s="2">
        <f>MAX(0, K85 - L85)</f>
        <v/>
      </c>
      <c r="N85" s="2" t="n">
        <v>150</v>
      </c>
      <c r="O85" s="2" t="n">
        <v>0</v>
      </c>
      <c r="P85" s="2" t="n">
        <v>0</v>
      </c>
      <c r="Q85" s="2">
        <f>N85 - P85</f>
        <v/>
      </c>
      <c r="R85" s="4" t="inlineStr">
        <is>
          <t>PO NOT Needed</t>
        </is>
      </c>
      <c r="S85" s="2" t="inlineStr">
        <is>
          <t>NC has enough on hand + on order (excl. this PO) to cover open sales</t>
        </is>
      </c>
    </row>
    <row r="86">
      <c r="A86" s="2" t="inlineStr">
        <is>
          <t>404615</t>
        </is>
      </c>
      <c r="B86" s="2" t="inlineStr">
        <is>
          <t>SND UNCRUSTABLE PB STRAW WG IW</t>
        </is>
      </c>
      <c r="C86" s="2" t="inlineStr">
        <is>
          <t>JM SMUCKER FOODSERVICE INC</t>
        </is>
      </c>
      <c r="D86" s="2" t="n">
        <v>191</v>
      </c>
      <c r="E86" s="2" t="n">
        <v>550</v>
      </c>
      <c r="F86" s="2" t="n">
        <v>400</v>
      </c>
      <c r="G86" s="2" t="inlineStr">
        <is>
          <t>2026/03/06</t>
        </is>
      </c>
      <c r="H86" s="2" t="inlineStr">
        <is>
          <t>PO</t>
        </is>
      </c>
      <c r="I86" s="2" t="inlineStr">
        <is>
          <t>No</t>
        </is>
      </c>
      <c r="J86" s="2" t="inlineStr"/>
      <c r="K86" s="2" t="n">
        <v>283</v>
      </c>
      <c r="L86" s="2">
        <f>D86 + (E86 - F86)</f>
        <v/>
      </c>
      <c r="M86" s="2">
        <f>MAX(0, K86 - L86)</f>
        <v/>
      </c>
      <c r="N86" s="2" t="n">
        <v>150</v>
      </c>
      <c r="O86" s="2" t="n">
        <v>0</v>
      </c>
      <c r="P86" s="2" t="n">
        <v>0</v>
      </c>
      <c r="Q86" s="2">
        <f>N86 - P86</f>
        <v/>
      </c>
      <c r="R86" s="4" t="inlineStr">
        <is>
          <t>PO NOT Needed</t>
        </is>
      </c>
      <c r="S86" s="2" t="inlineStr">
        <is>
          <t>NC has enough on hand + on order (excl. this PO) to cover open sales</t>
        </is>
      </c>
    </row>
    <row r="87">
      <c r="A87" s="2" t="inlineStr">
        <is>
          <t>404647</t>
        </is>
      </c>
      <c r="B87" s="2" t="inlineStr">
        <is>
          <t>CHIC BRD DARK MEAT SMACKERS WG</t>
        </is>
      </c>
      <c r="C87" s="2" t="inlineStr">
        <is>
          <t>PILGRIMS PRIDE GOLD KIST CMDY</t>
        </is>
      </c>
      <c r="D87" s="2" t="n">
        <v>7</v>
      </c>
      <c r="E87" s="2" t="n">
        <v>288</v>
      </c>
      <c r="F87" s="2" t="n">
        <v>288</v>
      </c>
      <c r="G87" s="2" t="inlineStr">
        <is>
          <t>2026/03/08</t>
        </is>
      </c>
      <c r="H87" s="2" t="inlineStr">
        <is>
          <t>PO</t>
        </is>
      </c>
      <c r="I87" s="2" t="inlineStr">
        <is>
          <t>No</t>
        </is>
      </c>
      <c r="J87" s="2" t="inlineStr"/>
      <c r="K87" s="2" t="n">
        <v>172</v>
      </c>
      <c r="L87" s="2">
        <f>D87 + (E87 - F87)</f>
        <v/>
      </c>
      <c r="M87" s="2">
        <f>MAX(0, K87 - L87)</f>
        <v/>
      </c>
      <c r="N87" s="2" t="n">
        <v>96</v>
      </c>
      <c r="O87" s="2" t="n">
        <v>0</v>
      </c>
      <c r="P87" s="2" t="n">
        <v>0</v>
      </c>
      <c r="Q87" s="2">
        <f>N87 - P87</f>
        <v/>
      </c>
      <c r="R87" s="6" t="inlineStr">
        <is>
          <t>PO Partially Needed</t>
        </is>
      </c>
      <c r="S87" s="2" t="inlineStr">
        <is>
          <t>CIC covers 96 of 165 shortfall; still need 69</t>
        </is>
      </c>
    </row>
    <row r="88">
      <c r="A88" s="2" t="inlineStr">
        <is>
          <t>405331</t>
        </is>
      </c>
      <c r="B88" s="2" t="inlineStr">
        <is>
          <t>PRIMO 16" WG PRE-SL4 CHS PIZZA</t>
        </is>
      </c>
      <c r="C88" s="2" t="inlineStr">
        <is>
          <t>SCHWANS SALES CO</t>
        </is>
      </c>
      <c r="D88" s="2" t="n">
        <v>349</v>
      </c>
      <c r="E88" s="2" t="n">
        <v>192</v>
      </c>
      <c r="F88" s="2" t="n">
        <v>96</v>
      </c>
      <c r="G88" s="2" t="inlineStr">
        <is>
          <t>2026/03/12</t>
        </is>
      </c>
      <c r="H88" s="2" t="inlineStr">
        <is>
          <t>PO</t>
        </is>
      </c>
      <c r="I88" s="2" t="inlineStr">
        <is>
          <t>No</t>
        </is>
      </c>
      <c r="J88" s="2" t="inlineStr"/>
      <c r="K88" s="2" t="n">
        <v>387</v>
      </c>
      <c r="L88" s="2">
        <f>D88 + (E88 - F88)</f>
        <v/>
      </c>
      <c r="M88" s="2">
        <f>MAX(0, K88 - L88)</f>
        <v/>
      </c>
      <c r="N88" s="2" t="n">
        <v>210</v>
      </c>
      <c r="O88" s="2" t="n">
        <v>0</v>
      </c>
      <c r="P88" s="2" t="n">
        <v>0</v>
      </c>
      <c r="Q88" s="2">
        <f>N88 - P88</f>
        <v/>
      </c>
      <c r="R88" s="4" t="inlineStr">
        <is>
          <t>PO NOT Needed</t>
        </is>
      </c>
      <c r="S88" s="2" t="inlineStr">
        <is>
          <t>NC has enough on hand + on order (excl. this PO) to cover open sales</t>
        </is>
      </c>
    </row>
    <row r="89">
      <c r="A89" s="2" t="inlineStr">
        <is>
          <t>405407</t>
        </is>
      </c>
      <c r="B89" s="2" t="inlineStr">
        <is>
          <t>PRIMO 16" WG PEPR PIZZA PRE-SL</t>
        </is>
      </c>
      <c r="C89" s="2" t="inlineStr">
        <is>
          <t>SCHWANS SALES CO</t>
        </is>
      </c>
      <c r="D89" s="2" t="n">
        <v>632</v>
      </c>
      <c r="E89" s="2" t="n">
        <v>144</v>
      </c>
      <c r="F89" s="2" t="n">
        <v>144</v>
      </c>
      <c r="G89" s="2" t="inlineStr">
        <is>
          <t>2026/03/12</t>
        </is>
      </c>
      <c r="H89" s="2" t="inlineStr">
        <is>
          <t>PO</t>
        </is>
      </c>
      <c r="I89" s="2" t="inlineStr">
        <is>
          <t>No</t>
        </is>
      </c>
      <c r="J89" s="2" t="inlineStr"/>
      <c r="K89" s="2" t="n">
        <v>605</v>
      </c>
      <c r="L89" s="2">
        <f>D89 + (E89 - F89)</f>
        <v/>
      </c>
      <c r="M89" s="2">
        <f>MAX(0, K89 - L89)</f>
        <v/>
      </c>
      <c r="N89" s="2" t="n">
        <v>168</v>
      </c>
      <c r="O89" s="2" t="n">
        <v>0</v>
      </c>
      <c r="P89" s="2" t="n">
        <v>0</v>
      </c>
      <c r="Q89" s="2">
        <f>N89 - P89</f>
        <v/>
      </c>
      <c r="R89" s="4" t="inlineStr">
        <is>
          <t>PO NOT Needed</t>
        </is>
      </c>
      <c r="S89" s="2" t="inlineStr">
        <is>
          <t>NC has enough on hand + on order (excl. this PO) to cover open sales</t>
        </is>
      </c>
    </row>
    <row r="90">
      <c r="A90" s="2" t="inlineStr">
        <is>
          <t>405422</t>
        </is>
      </c>
      <c r="B90" s="2" t="inlineStr">
        <is>
          <t>CHIC DRUMSTICK GLAZED</t>
        </is>
      </c>
      <c r="C90" s="2" t="inlineStr">
        <is>
          <t>TYSON COMMODITY COMMERCIAL</t>
        </is>
      </c>
      <c r="D90" s="2" t="n">
        <v>452</v>
      </c>
      <c r="E90" s="2" t="n">
        <v>240</v>
      </c>
      <c r="F90" s="2" t="n">
        <v>240</v>
      </c>
      <c r="G90" s="2" t="inlineStr">
        <is>
          <t>2026/03/10</t>
        </is>
      </c>
      <c r="H90" s="2" t="inlineStr">
        <is>
          <t>PO</t>
        </is>
      </c>
      <c r="I90" s="2" t="inlineStr">
        <is>
          <t>No</t>
        </is>
      </c>
      <c r="J90" s="2" t="inlineStr"/>
      <c r="K90" s="2" t="n">
        <v>171</v>
      </c>
      <c r="L90" s="2">
        <f>D90 + (E90 - F90)</f>
        <v/>
      </c>
      <c r="M90" s="2">
        <f>MAX(0, K90 - L90)</f>
        <v/>
      </c>
      <c r="N90" s="2" t="n">
        <v>80</v>
      </c>
      <c r="O90" s="2" t="n">
        <v>0</v>
      </c>
      <c r="P90" s="2" t="n">
        <v>0</v>
      </c>
      <c r="Q90" s="2">
        <f>N90 - P90</f>
        <v/>
      </c>
      <c r="R90" s="4" t="inlineStr">
        <is>
          <t>PO NOT Needed</t>
        </is>
      </c>
      <c r="S90" s="2" t="inlineStr">
        <is>
          <t>NC has enough on hand + on order (excl. this PO) to cover open sales</t>
        </is>
      </c>
    </row>
    <row r="91">
      <c r="A91" s="2" t="inlineStr">
        <is>
          <t>405590</t>
        </is>
      </c>
      <c r="B91" s="2" t="inlineStr">
        <is>
          <t>TRKY HAM CHS CROISSANT WG IW</t>
        </is>
      </c>
      <c r="C91" s="2" t="inlineStr">
        <is>
          <t>TASTY BRANDS LLC</t>
        </is>
      </c>
      <c r="D91" s="2" t="n">
        <v>203</v>
      </c>
      <c r="E91" s="2" t="n">
        <v>240</v>
      </c>
      <c r="F91" s="2" t="n">
        <v>120</v>
      </c>
      <c r="G91" s="2" t="inlineStr">
        <is>
          <t>2026/03/11</t>
        </is>
      </c>
      <c r="H91" s="2" t="inlineStr">
        <is>
          <t>PO</t>
        </is>
      </c>
      <c r="I91" s="2" t="inlineStr">
        <is>
          <t>No</t>
        </is>
      </c>
      <c r="J91" s="2" t="inlineStr"/>
      <c r="K91" s="2" t="n">
        <v>174</v>
      </c>
      <c r="L91" s="2">
        <f>D91 + (E91 - F91)</f>
        <v/>
      </c>
      <c r="M91" s="2">
        <f>MAX(0, K91 - L91)</f>
        <v/>
      </c>
      <c r="N91" s="2" t="n">
        <v>160</v>
      </c>
      <c r="O91" s="2" t="n">
        <v>0</v>
      </c>
      <c r="P91" s="2" t="n">
        <v>0</v>
      </c>
      <c r="Q91" s="2">
        <f>N91 - P91</f>
        <v/>
      </c>
      <c r="R91" s="4" t="inlineStr">
        <is>
          <t>PO NOT Needed</t>
        </is>
      </c>
      <c r="S91" s="2" t="inlineStr">
        <is>
          <t>NC has enough on hand + on order (excl. this PO) to cover open sales</t>
        </is>
      </c>
    </row>
    <row r="92">
      <c r="A92" s="2" t="inlineStr">
        <is>
          <t>405715</t>
        </is>
      </c>
      <c r="B92" s="2" t="inlineStr">
        <is>
          <t>EGG ROLL CHICKEN WG</t>
        </is>
      </c>
      <c r="C92" s="2" t="inlineStr">
        <is>
          <t>CHEFS CORNER</t>
        </is>
      </c>
      <c r="D92" s="2" t="n">
        <v>55</v>
      </c>
      <c r="E92" s="2" t="n">
        <v>110</v>
      </c>
      <c r="F92" s="2" t="n">
        <v>9</v>
      </c>
      <c r="G92" s="2" t="inlineStr">
        <is>
          <t>2026/03/08</t>
        </is>
      </c>
      <c r="H92" s="2" t="inlineStr">
        <is>
          <t>PO</t>
        </is>
      </c>
      <c r="I92" s="2" t="inlineStr">
        <is>
          <t>No</t>
        </is>
      </c>
      <c r="J92" s="2" t="inlineStr"/>
      <c r="K92" s="2" t="n">
        <v>75</v>
      </c>
      <c r="L92" s="2">
        <f>D92 + (E92 - F92)</f>
        <v/>
      </c>
      <c r="M92" s="2">
        <f>MAX(0, K92 - L92)</f>
        <v/>
      </c>
      <c r="N92" s="2" t="n">
        <v>56</v>
      </c>
      <c r="O92" s="2" t="n">
        <v>0</v>
      </c>
      <c r="P92" s="2" t="n">
        <v>0</v>
      </c>
      <c r="Q92" s="2">
        <f>N92 - P92</f>
        <v/>
      </c>
      <c r="R92" s="4" t="inlineStr">
        <is>
          <t>PO NOT Needed</t>
        </is>
      </c>
      <c r="S92" s="2" t="inlineStr">
        <is>
          <t>NC has enough on hand + on order (excl. this PO) to cover open sales</t>
        </is>
      </c>
    </row>
    <row r="93">
      <c r="A93" s="2" t="inlineStr">
        <is>
          <t>405821</t>
        </is>
      </c>
      <c r="B93" s="2" t="inlineStr">
        <is>
          <t>PIZZA LARGE WHOLE 4-CHEESE</t>
        </is>
      </c>
      <c r="C93" s="2" t="inlineStr">
        <is>
          <t>S.A. PIAZZA &amp; ASSOC INC</t>
        </is>
      </c>
      <c r="D93" s="2" t="n">
        <v>169</v>
      </c>
      <c r="E93" s="2" t="n">
        <v>210</v>
      </c>
      <c r="F93" s="2" t="n">
        <v>210</v>
      </c>
      <c r="G93" s="2" t="inlineStr">
        <is>
          <t>2026/03/20</t>
        </is>
      </c>
      <c r="H93" s="3" t="inlineStr">
        <is>
          <t>Transfer Order</t>
        </is>
      </c>
      <c r="I93" s="2" t="inlineStr">
        <is>
          <t>No</t>
        </is>
      </c>
      <c r="J93" s="2" t="inlineStr">
        <is>
          <t>NC-TO007826</t>
        </is>
      </c>
      <c r="K93" s="2" t="n">
        <v>375</v>
      </c>
      <c r="L93" s="2">
        <f>D93 + E93</f>
        <v/>
      </c>
      <c r="M93" s="2">
        <f>MAX(0, K93 - L93)</f>
        <v/>
      </c>
      <c r="N93" s="2" t="n">
        <v>630</v>
      </c>
      <c r="O93" s="2" t="n">
        <v>0</v>
      </c>
      <c r="P93" s="2" t="n">
        <v>0</v>
      </c>
      <c r="Q93" s="2">
        <f>N93 - P93</f>
        <v/>
      </c>
      <c r="R93" s="4" t="inlineStr">
        <is>
          <t>PO NOT Needed</t>
        </is>
      </c>
      <c r="S93" s="2" t="inlineStr">
        <is>
          <t>NC has enough on hand + on order (excl. this PO) to cover open sales</t>
        </is>
      </c>
    </row>
    <row r="94">
      <c r="A94" s="2" t="inlineStr">
        <is>
          <t>405842</t>
        </is>
      </c>
      <c r="B94" s="2" t="inlineStr">
        <is>
          <t>BURRITO BEAN CHEESE WG IW</t>
        </is>
      </c>
      <c r="C94" s="2" t="inlineStr">
        <is>
          <t>MCI FOODS LOS CABOS</t>
        </is>
      </c>
      <c r="D94" s="2" t="n">
        <v>234</v>
      </c>
      <c r="E94" s="2" t="n">
        <v>288</v>
      </c>
      <c r="F94" s="2" t="n">
        <v>288</v>
      </c>
      <c r="G94" s="2" t="inlineStr">
        <is>
          <t>2026/03/20</t>
        </is>
      </c>
      <c r="H94" s="2" t="inlineStr">
        <is>
          <t>PO</t>
        </is>
      </c>
      <c r="I94" s="2" t="inlineStr">
        <is>
          <t>No</t>
        </is>
      </c>
      <c r="J94" s="2" t="inlineStr"/>
      <c r="K94" s="2" t="n">
        <v>116</v>
      </c>
      <c r="L94" s="2">
        <f>D94 + (E94 - F94)</f>
        <v/>
      </c>
      <c r="M94" s="2">
        <f>MAX(0, K94 - L94)</f>
        <v/>
      </c>
      <c r="N94" s="2" t="n">
        <v>240</v>
      </c>
      <c r="O94" s="2" t="n">
        <v>0</v>
      </c>
      <c r="P94" s="2" t="n">
        <v>0</v>
      </c>
      <c r="Q94" s="2">
        <f>N94 - P94</f>
        <v/>
      </c>
      <c r="R94" s="4" t="inlineStr">
        <is>
          <t>PO NOT Needed</t>
        </is>
      </c>
      <c r="S94" s="2" t="inlineStr">
        <is>
          <t>NC has enough on hand + on order (excl. this PO) to cover open sales</t>
        </is>
      </c>
    </row>
    <row r="95">
      <c r="A95" s="2" t="inlineStr">
        <is>
          <t>405898</t>
        </is>
      </c>
      <c r="B95" s="2" t="inlineStr">
        <is>
          <t>COOKED MEATBALLS GF</t>
        </is>
      </c>
      <c r="C95" s="2" t="inlineStr">
        <is>
          <t>JTM FOODGROUP</t>
        </is>
      </c>
      <c r="D95" s="2" t="n">
        <v>9</v>
      </c>
      <c r="E95" s="2" t="n">
        <v>64</v>
      </c>
      <c r="F95" s="2" t="n">
        <v>64</v>
      </c>
      <c r="G95" s="2" t="inlineStr">
        <is>
          <t>2026/03/17</t>
        </is>
      </c>
      <c r="H95" s="2" t="inlineStr">
        <is>
          <t>PO</t>
        </is>
      </c>
      <c r="I95" s="2" t="inlineStr">
        <is>
          <t>No</t>
        </is>
      </c>
      <c r="J95" s="2" t="inlineStr"/>
      <c r="K95" s="2" t="n">
        <v>17</v>
      </c>
      <c r="L95" s="2">
        <f>D95 + (E95 - F95)</f>
        <v/>
      </c>
      <c r="M95" s="2">
        <f>MAX(0, K95 - L95)</f>
        <v/>
      </c>
      <c r="N95" s="2" t="n">
        <v>28</v>
      </c>
      <c r="O95" s="2" t="n">
        <v>0</v>
      </c>
      <c r="P95" s="2" t="n">
        <v>0</v>
      </c>
      <c r="Q95" s="2">
        <f>N95 - P95</f>
        <v/>
      </c>
      <c r="R95" s="4" t="inlineStr">
        <is>
          <t>PO NOT Needed</t>
        </is>
      </c>
      <c r="S95" s="2" t="inlineStr">
        <is>
          <t>CIC surplus of 28 can cover NC shortfall of 8</t>
        </is>
      </c>
    </row>
    <row r="96">
      <c r="A96" s="2" t="inlineStr">
        <is>
          <t>406172</t>
        </is>
      </c>
      <c r="B96" s="2" t="inlineStr">
        <is>
          <t>CHK TENDER HMSTY WG</t>
        </is>
      </c>
      <c r="C96" s="2" t="inlineStr">
        <is>
          <t>TYSON COMMODITY COMMERCIAL</t>
        </is>
      </c>
      <c r="D96" s="2" t="n">
        <v>209</v>
      </c>
      <c r="E96" s="2" t="n">
        <v>12</v>
      </c>
      <c r="F96" s="2" t="n">
        <v>12</v>
      </c>
      <c r="G96" s="2" t="inlineStr">
        <is>
          <t>2026/03/24</t>
        </is>
      </c>
      <c r="H96" s="2" t="inlineStr">
        <is>
          <t>PO</t>
        </is>
      </c>
      <c r="I96" s="2" t="inlineStr">
        <is>
          <t>No</t>
        </is>
      </c>
      <c r="J96" s="2" t="inlineStr"/>
      <c r="K96" s="2" t="n">
        <v>246</v>
      </c>
      <c r="L96" s="2">
        <f>D96 + (E96 - F96)</f>
        <v/>
      </c>
      <c r="M96" s="2">
        <f>MAX(0, K96 - L96)</f>
        <v/>
      </c>
      <c r="N96" s="2" t="n">
        <v>360</v>
      </c>
      <c r="O96" s="2" t="n">
        <v>0</v>
      </c>
      <c r="P96" s="2" t="n">
        <v>0</v>
      </c>
      <c r="Q96" s="2">
        <f>N96 - P96</f>
        <v/>
      </c>
      <c r="R96" s="4" t="inlineStr">
        <is>
          <t>PO NOT Needed</t>
        </is>
      </c>
      <c r="S96" s="2" t="inlineStr">
        <is>
          <t>CIC surplus of 360 can cover NC shortfall of 37</t>
        </is>
      </c>
    </row>
    <row r="97">
      <c r="A97" s="2" t="inlineStr">
        <is>
          <t>406221</t>
        </is>
      </c>
      <c r="B97" s="2" t="inlineStr">
        <is>
          <t>BEAN AND CHEESE DIP</t>
        </is>
      </c>
      <c r="C97" s="2" t="inlineStr">
        <is>
          <t>BUENA VISTA FOOD PRODUCTS</t>
        </is>
      </c>
      <c r="D97" s="2" t="n">
        <v>16</v>
      </c>
      <c r="E97" s="2" t="n">
        <v>48</v>
      </c>
      <c r="F97" s="2" t="n">
        <v>48</v>
      </c>
      <c r="G97" s="2" t="inlineStr">
        <is>
          <t>2026/03/13</t>
        </is>
      </c>
      <c r="H97" s="2" t="inlineStr">
        <is>
          <t>PO</t>
        </is>
      </c>
      <c r="I97" s="2" t="inlineStr">
        <is>
          <t>No</t>
        </is>
      </c>
      <c r="J97" s="2" t="inlineStr"/>
      <c r="K97" s="2" t="n">
        <v>80</v>
      </c>
      <c r="L97" s="2">
        <f>D97 + (E97 - F97)</f>
        <v/>
      </c>
      <c r="M97" s="2">
        <f>MAX(0, K97 - L97)</f>
        <v/>
      </c>
      <c r="N97" s="2" t="n">
        <v>48</v>
      </c>
      <c r="O97" s="2" t="n">
        <v>0</v>
      </c>
      <c r="P97" s="2" t="n">
        <v>0</v>
      </c>
      <c r="Q97" s="2">
        <f>N97 - P97</f>
        <v/>
      </c>
      <c r="R97" s="6" t="inlineStr">
        <is>
          <t>PO Partially Needed</t>
        </is>
      </c>
      <c r="S97" s="2" t="inlineStr">
        <is>
          <t>CIC covers 48 of 64 shortfall; still need 16</t>
        </is>
      </c>
    </row>
    <row r="98">
      <c r="A98" s="2" t="inlineStr">
        <is>
          <t>406252</t>
        </is>
      </c>
      <c r="B98" s="2" t="inlineStr">
        <is>
          <t>CMDY BF MAPLE SAUSAGE SANDWICH</t>
        </is>
      </c>
      <c r="C98" s="2" t="inlineStr">
        <is>
          <t>INTEGRATED FOOD SERVICE</t>
        </is>
      </c>
      <c r="D98" s="2" t="n">
        <v>1</v>
      </c>
      <c r="E98" s="2" t="n">
        <v>1</v>
      </c>
      <c r="F98" s="2" t="n">
        <v>1</v>
      </c>
      <c r="G98" s="2" t="inlineStr">
        <is>
          <t>2026/03/20</t>
        </is>
      </c>
      <c r="H98" s="3" t="inlineStr">
        <is>
          <t>Transfer Order</t>
        </is>
      </c>
      <c r="I98" s="2" t="inlineStr">
        <is>
          <t>No</t>
        </is>
      </c>
      <c r="J98" s="2" t="inlineStr">
        <is>
          <t>NC-TO007826</t>
        </is>
      </c>
      <c r="K98" s="2" t="n">
        <v>3</v>
      </c>
      <c r="L98" s="2">
        <f>D98 + E98</f>
        <v/>
      </c>
      <c r="M98" s="2">
        <f>MAX(0, K98 - L98)</f>
        <v/>
      </c>
      <c r="N98" s="2" t="n">
        <v>120</v>
      </c>
      <c r="O98" s="2" t="n">
        <v>0</v>
      </c>
      <c r="P98" s="2" t="n">
        <v>0</v>
      </c>
      <c r="Q98" s="2">
        <f>N98 - P98</f>
        <v/>
      </c>
      <c r="R98" s="4" t="inlineStr">
        <is>
          <t>PO NOT Needed</t>
        </is>
      </c>
      <c r="S98" s="2" t="inlineStr">
        <is>
          <t>CIC surplus of 120 can cover NC shortfall of 1</t>
        </is>
      </c>
    </row>
    <row r="99">
      <c r="A99" s="2" t="inlineStr">
        <is>
          <t>406323</t>
        </is>
      </c>
      <c r="B99" s="2" t="inlineStr">
        <is>
          <t>CHICKEN BREADED POPCORN FC WG</t>
        </is>
      </c>
      <c r="C99" s="2" t="inlineStr">
        <is>
          <t>RICH CHICKS LLC</t>
        </is>
      </c>
      <c r="D99" s="2" t="n">
        <v>0</v>
      </c>
      <c r="E99" s="2" t="n">
        <v>2</v>
      </c>
      <c r="F99" s="2" t="n">
        <v>2</v>
      </c>
      <c r="G99" s="2" t="inlineStr">
        <is>
          <t>2026/03/20</t>
        </is>
      </c>
      <c r="H99" s="3" t="inlineStr">
        <is>
          <t>Transfer Order</t>
        </is>
      </c>
      <c r="I99" s="2" t="inlineStr">
        <is>
          <t>No</t>
        </is>
      </c>
      <c r="J99" s="2" t="inlineStr">
        <is>
          <t>NC-TO007826</t>
        </is>
      </c>
      <c r="K99" s="2" t="n">
        <v>2</v>
      </c>
      <c r="L99" s="2">
        <f>D99 + E99</f>
        <v/>
      </c>
      <c r="M99" s="2">
        <f>MAX(0, K99 - L99)</f>
        <v/>
      </c>
      <c r="N99" s="2" t="n">
        <v>240</v>
      </c>
      <c r="O99" s="2" t="n">
        <v>0</v>
      </c>
      <c r="P99" s="2" t="n">
        <v>0</v>
      </c>
      <c r="Q99" s="2">
        <f>N99 - P99</f>
        <v/>
      </c>
      <c r="R99" s="4" t="inlineStr">
        <is>
          <t>PO NOT Needed</t>
        </is>
      </c>
      <c r="S99" s="2" t="inlineStr">
        <is>
          <t>NC has enough on hand + on order (excl. this PO) to cover open sales</t>
        </is>
      </c>
    </row>
    <row r="100">
      <c r="A100" s="2" t="inlineStr">
        <is>
          <t>406459</t>
        </is>
      </c>
      <c r="B100" s="2" t="inlineStr">
        <is>
          <t>PASTA ALFREDO PENNE WG</t>
        </is>
      </c>
      <c r="C100" s="2" t="inlineStr">
        <is>
          <t>JTM FOODGROUP</t>
        </is>
      </c>
      <c r="D100" s="2" t="n">
        <v>205</v>
      </c>
      <c r="E100" s="2" t="n">
        <v>140</v>
      </c>
      <c r="F100" s="2" t="n">
        <v>140</v>
      </c>
      <c r="G100" s="2" t="inlineStr">
        <is>
          <t>2026/03/11</t>
        </is>
      </c>
      <c r="H100" s="2" t="inlineStr">
        <is>
          <t>PO</t>
        </is>
      </c>
      <c r="I100" s="2" t="inlineStr">
        <is>
          <t>No</t>
        </is>
      </c>
      <c r="J100" s="2" t="inlineStr"/>
      <c r="K100" s="2" t="n">
        <v>204</v>
      </c>
      <c r="L100" s="2">
        <f>D100 + (E100 - F100)</f>
        <v/>
      </c>
      <c r="M100" s="2">
        <f>MAX(0, K100 - L100)</f>
        <v/>
      </c>
      <c r="N100" s="2" t="n">
        <v>140</v>
      </c>
      <c r="O100" s="2" t="n">
        <v>0</v>
      </c>
      <c r="P100" s="2" t="n">
        <v>0</v>
      </c>
      <c r="Q100" s="2">
        <f>N100 - P100</f>
        <v/>
      </c>
      <c r="R100" s="4" t="inlineStr">
        <is>
          <t>PO NOT Needed</t>
        </is>
      </c>
      <c r="S100" s="2" t="inlineStr">
        <is>
          <t>NC has enough on hand + on order (excl. this PO) to cover open sales</t>
        </is>
      </c>
    </row>
    <row r="101">
      <c r="A101" s="2" t="inlineStr">
        <is>
          <t>406525</t>
        </is>
      </c>
      <c r="B101" s="2" t="inlineStr">
        <is>
          <t>CAKE CINN CRUMBLE IW WG</t>
        </is>
      </c>
      <c r="C101" s="2" t="inlineStr">
        <is>
          <t>BUENA VISTA FOOD PRODUCTS</t>
        </is>
      </c>
      <c r="D101" s="2" t="n">
        <v>48</v>
      </c>
      <c r="E101" s="2" t="n">
        <v>144</v>
      </c>
      <c r="F101" s="2" t="n">
        <v>48</v>
      </c>
      <c r="G101" s="2" t="inlineStr">
        <is>
          <t>2026/03/13</t>
        </is>
      </c>
      <c r="H101" s="3" t="inlineStr">
        <is>
          <t>Transfer Order</t>
        </is>
      </c>
      <c r="I101" s="2" t="inlineStr">
        <is>
          <t>No</t>
        </is>
      </c>
      <c r="J101" s="2" t="inlineStr">
        <is>
          <t>NC-TO007786</t>
        </is>
      </c>
      <c r="K101" s="2" t="n">
        <v>166</v>
      </c>
      <c r="L101" s="2">
        <f>D101 + E101</f>
        <v/>
      </c>
      <c r="M101" s="2">
        <f>MAX(0, K101 - L101)</f>
        <v/>
      </c>
      <c r="N101" s="2" t="n">
        <v>48</v>
      </c>
      <c r="O101" s="2" t="n">
        <v>0</v>
      </c>
      <c r="P101" s="2" t="n">
        <v>0</v>
      </c>
      <c r="Q101" s="2">
        <f>N101 - P101</f>
        <v/>
      </c>
      <c r="R101" s="4" t="inlineStr">
        <is>
          <t>PO NOT Needed</t>
        </is>
      </c>
      <c r="S101" s="2" t="inlineStr">
        <is>
          <t>NC has enough on hand + on order (excl. this PO) to cover open sales</t>
        </is>
      </c>
    </row>
    <row r="102">
      <c r="A102" s="2" t="inlineStr">
        <is>
          <t>406533</t>
        </is>
      </c>
      <c r="B102" s="2" t="inlineStr">
        <is>
          <t>WRAP TRKY HAM CHEESE WG</t>
        </is>
      </c>
      <c r="C102" s="2" t="inlineStr">
        <is>
          <t>TASTY BRANDS LLC</t>
        </is>
      </c>
      <c r="D102" s="2" t="n">
        <v>0</v>
      </c>
      <c r="E102" s="2" t="n">
        <v>1</v>
      </c>
      <c r="F102" s="2" t="n">
        <v>1</v>
      </c>
      <c r="G102" s="2" t="inlineStr">
        <is>
          <t>2026/03/31</t>
        </is>
      </c>
      <c r="H102" s="2" t="inlineStr">
        <is>
          <t>PO</t>
        </is>
      </c>
      <c r="I102" s="2" t="inlineStr">
        <is>
          <t>No</t>
        </is>
      </c>
      <c r="J102" s="2" t="inlineStr"/>
      <c r="K102" s="2" t="n">
        <v>1</v>
      </c>
      <c r="L102" s="2">
        <f>D102 + (E102 - F102)</f>
        <v/>
      </c>
      <c r="M102" s="2">
        <f>MAX(0, K102 - L102)</f>
        <v/>
      </c>
      <c r="N102" s="2" t="n">
        <v>214</v>
      </c>
      <c r="O102" s="2" t="n">
        <v>0</v>
      </c>
      <c r="P102" s="2" t="n">
        <v>0</v>
      </c>
      <c r="Q102" s="2">
        <f>N102 - P102</f>
        <v/>
      </c>
      <c r="R102" s="4" t="inlineStr">
        <is>
          <t>PO NOT Needed</t>
        </is>
      </c>
      <c r="S102" s="2" t="inlineStr">
        <is>
          <t>CIC surplus of 214 can cover NC shortfall of 1</t>
        </is>
      </c>
    </row>
    <row r="103">
      <c r="A103" s="2" t="inlineStr">
        <is>
          <t>406536</t>
        </is>
      </c>
      <c r="B103" s="2" t="inlineStr">
        <is>
          <t>TAMALE CHIC &amp; CHS IN FOIL</t>
        </is>
      </c>
      <c r="C103" s="2" t="inlineStr">
        <is>
          <t>MICHAEL B'S FOOD PRODUCTS</t>
        </is>
      </c>
      <c r="D103" s="2" t="n">
        <v>67</v>
      </c>
      <c r="E103" s="2" t="n">
        <v>240</v>
      </c>
      <c r="F103" s="2" t="n">
        <v>240</v>
      </c>
      <c r="G103" s="2" t="inlineStr">
        <is>
          <t>2026/03/14</t>
        </is>
      </c>
      <c r="H103" s="2" t="inlineStr">
        <is>
          <t>PO</t>
        </is>
      </c>
      <c r="I103" s="2" t="inlineStr">
        <is>
          <t>No</t>
        </is>
      </c>
      <c r="J103" s="2" t="inlineStr"/>
      <c r="K103" s="2" t="n">
        <v>40</v>
      </c>
      <c r="L103" s="2">
        <f>D103 + (E103 - F103)</f>
        <v/>
      </c>
      <c r="M103" s="2">
        <f>MAX(0, K103 - L103)</f>
        <v/>
      </c>
      <c r="N103" s="2" t="n">
        <v>220</v>
      </c>
      <c r="O103" s="2" t="n">
        <v>0</v>
      </c>
      <c r="P103" s="2" t="n">
        <v>0</v>
      </c>
      <c r="Q103" s="2">
        <f>N103 - P103</f>
        <v/>
      </c>
      <c r="R103" s="4" t="inlineStr">
        <is>
          <t>PO NOT Needed</t>
        </is>
      </c>
      <c r="S103" s="2" t="inlineStr">
        <is>
          <t>NC has enough on hand + on order (excl. this PO) to cover open sales</t>
        </is>
      </c>
    </row>
    <row r="104">
      <c r="A104" s="2" t="inlineStr">
        <is>
          <t>406576</t>
        </is>
      </c>
      <c r="B104" s="2" t="inlineStr">
        <is>
          <t>MUFFIN BANANA WG IW</t>
        </is>
      </c>
      <c r="C104" s="2" t="inlineStr">
        <is>
          <t>BUENA VISTA FOOD PRODUCTS</t>
        </is>
      </c>
      <c r="D104" s="2" t="n">
        <v>187</v>
      </c>
      <c r="E104" s="2" t="n">
        <v>240</v>
      </c>
      <c r="F104" s="2" t="n">
        <v>96</v>
      </c>
      <c r="G104" s="2" t="inlineStr">
        <is>
          <t>2026/03/13</t>
        </is>
      </c>
      <c r="H104" s="2" t="inlineStr">
        <is>
          <t>PO</t>
        </is>
      </c>
      <c r="I104" s="2" t="inlineStr">
        <is>
          <t>No</t>
        </is>
      </c>
      <c r="J104" s="2" t="inlineStr"/>
      <c r="K104" s="2" t="n">
        <v>221</v>
      </c>
      <c r="L104" s="2">
        <f>D104 + (E104 - F104)</f>
        <v/>
      </c>
      <c r="M104" s="2">
        <f>MAX(0, K104 - L104)</f>
        <v/>
      </c>
      <c r="N104" s="2" t="n">
        <v>96</v>
      </c>
      <c r="O104" s="2" t="n">
        <v>0</v>
      </c>
      <c r="P104" s="2" t="n">
        <v>0</v>
      </c>
      <c r="Q104" s="2">
        <f>N104 - P104</f>
        <v/>
      </c>
      <c r="R104" s="4" t="inlineStr">
        <is>
          <t>PO NOT Needed</t>
        </is>
      </c>
      <c r="S104" s="2" t="inlineStr">
        <is>
          <t>NC has enough on hand + on order (excl. this PO) to cover open sales</t>
        </is>
      </c>
    </row>
    <row r="105">
      <c r="A105" s="2" t="inlineStr">
        <is>
          <t>406577</t>
        </is>
      </c>
      <c r="B105" s="2" t="inlineStr">
        <is>
          <t>MUFFIN BLUEBERRY WG IW</t>
        </is>
      </c>
      <c r="C105" s="2" t="inlineStr">
        <is>
          <t>BUENA VISTA FOOD PRODUCTS</t>
        </is>
      </c>
      <c r="D105" s="2" t="n">
        <v>145</v>
      </c>
      <c r="E105" s="2" t="n">
        <v>48</v>
      </c>
      <c r="F105" s="2" t="n">
        <v>48</v>
      </c>
      <c r="G105" s="2" t="inlineStr">
        <is>
          <t>2026/03/15</t>
        </is>
      </c>
      <c r="H105" s="2" t="inlineStr">
        <is>
          <t>PO</t>
        </is>
      </c>
      <c r="I105" s="2" t="inlineStr">
        <is>
          <t>No</t>
        </is>
      </c>
      <c r="J105" s="2" t="inlineStr"/>
      <c r="K105" s="2" t="n">
        <v>38</v>
      </c>
      <c r="L105" s="2">
        <f>D105 + (E105 - F105)</f>
        <v/>
      </c>
      <c r="M105" s="2">
        <f>MAX(0, K105 - L105)</f>
        <v/>
      </c>
      <c r="N105" s="2" t="n">
        <v>48</v>
      </c>
      <c r="O105" s="2" t="n">
        <v>0</v>
      </c>
      <c r="P105" s="2" t="n">
        <v>0</v>
      </c>
      <c r="Q105" s="2">
        <f>N105 - P105</f>
        <v/>
      </c>
      <c r="R105" s="4" t="inlineStr">
        <is>
          <t>PO NOT Needed</t>
        </is>
      </c>
      <c r="S105" s="2" t="inlineStr">
        <is>
          <t>NC has enough on hand + on order (excl. this PO) to cover open sales</t>
        </is>
      </c>
    </row>
    <row r="106">
      <c r="A106" s="2" t="inlineStr">
        <is>
          <t>406578</t>
        </is>
      </c>
      <c r="B106" s="2" t="inlineStr">
        <is>
          <t>MUFFIN DBL CHOC CHIP WG IW</t>
        </is>
      </c>
      <c r="C106" s="2" t="inlineStr">
        <is>
          <t>BUENA VISTA FOOD PRODUCTS</t>
        </is>
      </c>
      <c r="D106" s="2" t="n">
        <v>50</v>
      </c>
      <c r="E106" s="2" t="n">
        <v>288</v>
      </c>
      <c r="F106" s="2" t="n">
        <v>96</v>
      </c>
      <c r="G106" s="2" t="inlineStr">
        <is>
          <t>2026/03/13</t>
        </is>
      </c>
      <c r="H106" s="2" t="inlineStr">
        <is>
          <t>PO</t>
        </is>
      </c>
      <c r="I106" s="2" t="inlineStr">
        <is>
          <t>No</t>
        </is>
      </c>
      <c r="J106" s="2" t="inlineStr"/>
      <c r="K106" s="2" t="n">
        <v>180</v>
      </c>
      <c r="L106" s="2">
        <f>D106 + (E106 - F106)</f>
        <v/>
      </c>
      <c r="M106" s="2">
        <f>MAX(0, K106 - L106)</f>
        <v/>
      </c>
      <c r="N106" s="2" t="n">
        <v>96</v>
      </c>
      <c r="O106" s="2" t="n">
        <v>0</v>
      </c>
      <c r="P106" s="2" t="n">
        <v>0</v>
      </c>
      <c r="Q106" s="2">
        <f>N106 - P106</f>
        <v/>
      </c>
      <c r="R106" s="4" t="inlineStr">
        <is>
          <t>PO NOT Needed</t>
        </is>
      </c>
      <c r="S106" s="2" t="inlineStr">
        <is>
          <t>NC has enough on hand + on order (excl. this PO) to cover open sales</t>
        </is>
      </c>
    </row>
    <row r="107">
      <c r="A107" s="2" t="inlineStr">
        <is>
          <t>406586</t>
        </is>
      </c>
      <c r="B107" s="2" t="inlineStr">
        <is>
          <t>SANDWICH SUNBUTTER STRWBRRY</t>
        </is>
      </c>
      <c r="C107" s="2" t="inlineStr">
        <is>
          <t>JSB INDUSTRIES - MUFFINTOWN</t>
        </is>
      </c>
      <c r="D107" s="2" t="n">
        <v>158</v>
      </c>
      <c r="E107" s="2" t="n">
        <v>68</v>
      </c>
      <c r="F107" s="2" t="n">
        <v>59</v>
      </c>
      <c r="G107" s="2" t="inlineStr">
        <is>
          <t>2026/03/06</t>
        </is>
      </c>
      <c r="H107" s="2" t="inlineStr">
        <is>
          <t>PO</t>
        </is>
      </c>
      <c r="I107" s="2" t="inlineStr">
        <is>
          <t>No</t>
        </is>
      </c>
      <c r="J107" s="2" t="inlineStr"/>
      <c r="K107" s="2" t="n">
        <v>199</v>
      </c>
      <c r="L107" s="2">
        <f>D107 + (E107 - F107)</f>
        <v/>
      </c>
      <c r="M107" s="2">
        <f>MAX(0, K107 - L107)</f>
        <v/>
      </c>
      <c r="N107" s="2" t="n">
        <v>0</v>
      </c>
      <c r="O107" s="2" t="n">
        <v>0</v>
      </c>
      <c r="P107" s="2" t="n">
        <v>0</v>
      </c>
      <c r="Q107" s="2">
        <f>N107 - P107</f>
        <v/>
      </c>
      <c r="R107" s="5" t="inlineStr">
        <is>
          <t>PO Needed</t>
        </is>
      </c>
      <c r="S107" s="2" t="inlineStr">
        <is>
          <t>CIC has no available surplus to transfer</t>
        </is>
      </c>
    </row>
    <row r="108">
      <c r="A108" s="2" t="inlineStr">
        <is>
          <t>406591</t>
        </is>
      </c>
      <c r="B108" s="2" t="inlineStr">
        <is>
          <t>ENCHILADA 2 CHS IN TRAY WG</t>
        </is>
      </c>
      <c r="C108" s="2" t="inlineStr">
        <is>
          <t>MICHAEL B'S FOOD PRODUCTS</t>
        </is>
      </c>
      <c r="D108" s="2" t="n">
        <v>414</v>
      </c>
      <c r="E108" s="2" t="n">
        <v>232</v>
      </c>
      <c r="F108" s="2" t="n">
        <v>128</v>
      </c>
      <c r="G108" s="2" t="inlineStr">
        <is>
          <t>2026/03/14</t>
        </is>
      </c>
      <c r="H108" s="2" t="inlineStr">
        <is>
          <t>PO</t>
        </is>
      </c>
      <c r="I108" s="2" t="inlineStr">
        <is>
          <t>No</t>
        </is>
      </c>
      <c r="J108" s="2" t="inlineStr"/>
      <c r="K108" s="2" t="n">
        <v>939</v>
      </c>
      <c r="L108" s="2">
        <f>D108 + (E108 - F108)</f>
        <v/>
      </c>
      <c r="M108" s="2">
        <f>MAX(0, K108 - L108)</f>
        <v/>
      </c>
      <c r="N108" s="2" t="n">
        <v>128</v>
      </c>
      <c r="O108" s="2" t="n">
        <v>0</v>
      </c>
      <c r="P108" s="2" t="n">
        <v>0</v>
      </c>
      <c r="Q108" s="2">
        <f>N108 - P108</f>
        <v/>
      </c>
      <c r="R108" s="6" t="inlineStr">
        <is>
          <t>PO Partially Needed</t>
        </is>
      </c>
      <c r="S108" s="2" t="inlineStr">
        <is>
          <t>CIC covers 128 of 421 shortfall; still need 293</t>
        </is>
      </c>
    </row>
    <row r="109">
      <c r="A109" s="2" t="inlineStr">
        <is>
          <t>406619</t>
        </is>
      </c>
      <c r="B109" s="2" t="inlineStr">
        <is>
          <t>BURRITO BRKFST BEAN CHEESE IW</t>
        </is>
      </c>
      <c r="C109" s="2" t="inlineStr">
        <is>
          <t>ARDELLAS</t>
        </is>
      </c>
      <c r="D109" s="2" t="n">
        <v>29</v>
      </c>
      <c r="E109" s="2" t="n">
        <v>84</v>
      </c>
      <c r="F109" s="2" t="n">
        <v>35</v>
      </c>
      <c r="G109" s="2" t="inlineStr">
        <is>
          <t>2026/03/11</t>
        </is>
      </c>
      <c r="H109" s="3" t="inlineStr">
        <is>
          <t>Transfer Order</t>
        </is>
      </c>
      <c r="I109" s="2" t="inlineStr">
        <is>
          <t>No</t>
        </is>
      </c>
      <c r="J109" s="2" t="inlineStr">
        <is>
          <t>NC-TO007834</t>
        </is>
      </c>
      <c r="K109" s="2" t="n">
        <v>4</v>
      </c>
      <c r="L109" s="2">
        <f>D109 + E109</f>
        <v/>
      </c>
      <c r="M109" s="2">
        <f>MAX(0, K109 - L109)</f>
        <v/>
      </c>
      <c r="N109" s="2" t="n">
        <v>35</v>
      </c>
      <c r="O109" s="2" t="n">
        <v>0</v>
      </c>
      <c r="P109" s="2" t="n">
        <v>0</v>
      </c>
      <c r="Q109" s="2">
        <f>N109 - P109</f>
        <v/>
      </c>
      <c r="R109" s="4" t="inlineStr">
        <is>
          <t>PO NOT Needed</t>
        </is>
      </c>
      <c r="S109" s="2" t="inlineStr">
        <is>
          <t>NC has enough on hand + on order (excl. this PO) to cover open sales</t>
        </is>
      </c>
    </row>
    <row r="110">
      <c r="A110" s="2" t="inlineStr">
        <is>
          <t>406620</t>
        </is>
      </c>
      <c r="B110" s="2" t="inlineStr">
        <is>
          <t>BURRITO BEAN CHEESE WG IW</t>
        </is>
      </c>
      <c r="C110" s="2" t="inlineStr">
        <is>
          <t>ARDELLAS</t>
        </is>
      </c>
      <c r="D110" s="2" t="n">
        <v>0</v>
      </c>
      <c r="E110" s="2" t="n">
        <v>36</v>
      </c>
      <c r="F110" s="2" t="n">
        <v>6</v>
      </c>
      <c r="G110" s="2" t="inlineStr">
        <is>
          <t>2026/03/10</t>
        </is>
      </c>
      <c r="H110" s="3" t="inlineStr">
        <is>
          <t>Transfer Order</t>
        </is>
      </c>
      <c r="I110" s="2" t="inlineStr">
        <is>
          <t>Yes</t>
        </is>
      </c>
      <c r="J110" s="2" t="inlineStr">
        <is>
          <t>NC-TO007815</t>
        </is>
      </c>
      <c r="K110" s="2" t="n">
        <v>0</v>
      </c>
      <c r="L110" s="2">
        <f>D110 + E110</f>
        <v/>
      </c>
      <c r="M110" s="2">
        <f>MAX(0, K110 - L110)</f>
        <v/>
      </c>
      <c r="N110" s="2" t="n">
        <v>6</v>
      </c>
      <c r="O110" s="2" t="n">
        <v>0</v>
      </c>
      <c r="P110" s="2" t="n">
        <v>0</v>
      </c>
      <c r="Q110" s="2">
        <f>N110 - P110</f>
        <v/>
      </c>
      <c r="R110" s="4" t="inlineStr">
        <is>
          <t>PO NOT Needed</t>
        </is>
      </c>
      <c r="S110" s="2" t="inlineStr">
        <is>
          <t>NC has enough on hand + on order (excl. this PO) to cover open sales</t>
        </is>
      </c>
    </row>
    <row r="111">
      <c r="A111" s="2" t="inlineStr">
        <is>
          <t>406636</t>
        </is>
      </c>
      <c r="B111" s="2" t="inlineStr">
        <is>
          <t>PIZZA 7" FB CHEESE WG IW</t>
        </is>
      </c>
      <c r="C111" s="2" t="inlineStr">
        <is>
          <t>ARDELLAS</t>
        </is>
      </c>
      <c r="D111" s="2" t="n">
        <v>320</v>
      </c>
      <c r="E111" s="2" t="n">
        <v>133</v>
      </c>
      <c r="F111" s="2" t="n">
        <v>133</v>
      </c>
      <c r="G111" s="2" t="inlineStr">
        <is>
          <t>2026/03/13</t>
        </is>
      </c>
      <c r="H111" s="2" t="inlineStr">
        <is>
          <t>PO</t>
        </is>
      </c>
      <c r="I111" s="2" t="inlineStr">
        <is>
          <t>No</t>
        </is>
      </c>
      <c r="J111" s="2" t="inlineStr"/>
      <c r="K111" s="2" t="n">
        <v>35</v>
      </c>
      <c r="L111" s="2">
        <f>D111 + (E111 - F111)</f>
        <v/>
      </c>
      <c r="M111" s="2">
        <f>MAX(0, K111 - L111)</f>
        <v/>
      </c>
      <c r="N111" s="2" t="n">
        <v>734</v>
      </c>
      <c r="O111" s="2" t="n">
        <v>0</v>
      </c>
      <c r="P111" s="2" t="n">
        <v>0</v>
      </c>
      <c r="Q111" s="2">
        <f>N111 - P111</f>
        <v/>
      </c>
      <c r="R111" s="4" t="inlineStr">
        <is>
          <t>PO NOT Needed</t>
        </is>
      </c>
      <c r="S111" s="2" t="inlineStr">
        <is>
          <t>NC has enough on hand + on order (excl. this PO) to cover open sales</t>
        </is>
      </c>
    </row>
    <row r="112">
      <c r="A112" s="2" t="inlineStr">
        <is>
          <t>406707</t>
        </is>
      </c>
      <c r="B112" s="2" t="inlineStr">
        <is>
          <t>PIZZA WEDGE CHEESE IW</t>
        </is>
      </c>
      <c r="C112" s="2" t="inlineStr">
        <is>
          <t>ROSE AND SHORE INC</t>
        </is>
      </c>
      <c r="D112" s="2" t="n">
        <v>7</v>
      </c>
      <c r="E112" s="2" t="n">
        <v>89</v>
      </c>
      <c r="F112" s="2" t="n">
        <v>89</v>
      </c>
      <c r="G112" s="2" t="inlineStr">
        <is>
          <t>2026/03/06</t>
        </is>
      </c>
      <c r="H112" s="2" t="inlineStr">
        <is>
          <t>PO</t>
        </is>
      </c>
      <c r="I112" s="2" t="inlineStr">
        <is>
          <t>No</t>
        </is>
      </c>
      <c r="J112" s="2" t="inlineStr"/>
      <c r="K112" s="2" t="n">
        <v>96</v>
      </c>
      <c r="L112" s="2">
        <f>D112 + (E112 - F112)</f>
        <v/>
      </c>
      <c r="M112" s="2">
        <f>MAX(0, K112 - L112)</f>
        <v/>
      </c>
      <c r="N112" s="2" t="n">
        <v>190</v>
      </c>
      <c r="O112" s="2" t="n">
        <v>0</v>
      </c>
      <c r="P112" s="2" t="n">
        <v>0</v>
      </c>
      <c r="Q112" s="2">
        <f>N112 - P112</f>
        <v/>
      </c>
      <c r="R112" s="4" t="inlineStr">
        <is>
          <t>PO NOT Needed</t>
        </is>
      </c>
      <c r="S112" s="2" t="inlineStr">
        <is>
          <t>CIC surplus of 190 can cover NC shortfall of 89</t>
        </is>
      </c>
    </row>
    <row r="113">
      <c r="A113" s="2" t="inlineStr">
        <is>
          <t>406785</t>
        </is>
      </c>
      <c r="B113" s="2" t="inlineStr">
        <is>
          <t>SANDWICH SUNBUTTER GRAPE</t>
        </is>
      </c>
      <c r="C113" s="2" t="inlineStr">
        <is>
          <t>JSB INDUSTRIES - MUFFINTOWN</t>
        </is>
      </c>
      <c r="D113" s="2" t="n">
        <v>87</v>
      </c>
      <c r="E113" s="2" t="n">
        <v>70</v>
      </c>
      <c r="F113" s="2" t="n">
        <v>70</v>
      </c>
      <c r="G113" s="2" t="inlineStr">
        <is>
          <t>2026/03/13</t>
        </is>
      </c>
      <c r="H113" s="3" t="inlineStr">
        <is>
          <t>Transfer Order</t>
        </is>
      </c>
      <c r="I113" s="2" t="inlineStr">
        <is>
          <t>No</t>
        </is>
      </c>
      <c r="J113" s="2" t="inlineStr">
        <is>
          <t>NC-TO007786</t>
        </is>
      </c>
      <c r="K113" s="2" t="n">
        <v>91</v>
      </c>
      <c r="L113" s="2">
        <f>D113 + E113</f>
        <v/>
      </c>
      <c r="M113" s="2">
        <f>MAX(0, K113 - L113)</f>
        <v/>
      </c>
      <c r="N113" s="2" t="n">
        <v>980</v>
      </c>
      <c r="O113" s="2" t="n">
        <v>0</v>
      </c>
      <c r="P113" s="2" t="n">
        <v>0</v>
      </c>
      <c r="Q113" s="2">
        <f>N113 - P113</f>
        <v/>
      </c>
      <c r="R113" s="4" t="inlineStr">
        <is>
          <t>PO NOT Needed</t>
        </is>
      </c>
      <c r="S113" s="2" t="inlineStr">
        <is>
          <t>NC has enough on hand + on order (excl. this PO) to cover open sales</t>
        </is>
      </c>
    </row>
    <row r="114">
      <c r="A114" s="2" t="inlineStr">
        <is>
          <t>406899</t>
        </is>
      </c>
      <c r="B114" s="2" t="inlineStr">
        <is>
          <t>CHEESE CHEDDAR CUP</t>
        </is>
      </c>
      <c r="C114" s="2" t="inlineStr">
        <is>
          <t>TABATCHNICK FINE FOOD INC</t>
        </is>
      </c>
      <c r="D114" s="2" t="n">
        <v>3</v>
      </c>
      <c r="E114" s="2" t="n">
        <v>1</v>
      </c>
      <c r="F114" s="2" t="n">
        <v>1</v>
      </c>
      <c r="G114" s="2" t="inlineStr">
        <is>
          <t>2026/03/06</t>
        </is>
      </c>
      <c r="H114" s="2" t="inlineStr">
        <is>
          <t>PO</t>
        </is>
      </c>
      <c r="I114" s="2" t="inlineStr">
        <is>
          <t>No</t>
        </is>
      </c>
      <c r="J114" s="2" t="inlineStr"/>
      <c r="K114" s="2" t="n">
        <v>4</v>
      </c>
      <c r="L114" s="2">
        <f>D114 + (E114 - F114)</f>
        <v/>
      </c>
      <c r="M114" s="2">
        <f>MAX(0, K114 - L114)</f>
        <v/>
      </c>
      <c r="N114" s="2" t="n">
        <v>95</v>
      </c>
      <c r="O114" s="2" t="n">
        <v>0</v>
      </c>
      <c r="P114" s="2" t="n">
        <v>0</v>
      </c>
      <c r="Q114" s="2">
        <f>N114 - P114</f>
        <v/>
      </c>
      <c r="R114" s="4" t="inlineStr">
        <is>
          <t>PO NOT Needed</t>
        </is>
      </c>
      <c r="S114" s="2" t="inlineStr">
        <is>
          <t>CIC surplus of 95 can cover NC shortfall of 1</t>
        </is>
      </c>
    </row>
    <row r="115">
      <c r="A115" s="2" t="inlineStr">
        <is>
          <t>406934</t>
        </is>
      </c>
      <c r="B115" s="2" t="inlineStr">
        <is>
          <t>MEATBALL CHIC JAL MNGO</t>
        </is>
      </c>
      <c r="C115" s="2" t="inlineStr">
        <is>
          <t>RICH CHICKS LLC</t>
        </is>
      </c>
      <c r="D115" s="2" t="n">
        <v>163</v>
      </c>
      <c r="E115" s="2" t="n">
        <v>66</v>
      </c>
      <c r="F115" s="2" t="n">
        <v>66</v>
      </c>
      <c r="G115" s="2" t="inlineStr">
        <is>
          <t>2026/03/13</t>
        </is>
      </c>
      <c r="H115" s="2" t="inlineStr">
        <is>
          <t>PO</t>
        </is>
      </c>
      <c r="I115" s="2" t="inlineStr">
        <is>
          <t>No</t>
        </is>
      </c>
      <c r="J115" s="2" t="inlineStr"/>
      <c r="K115" s="2" t="n">
        <v>82</v>
      </c>
      <c r="L115" s="2">
        <f>D115 + (E115 - F115)</f>
        <v/>
      </c>
      <c r="M115" s="2">
        <f>MAX(0, K115 - L115)</f>
        <v/>
      </c>
      <c r="N115" s="2" t="n">
        <v>33</v>
      </c>
      <c r="O115" s="2" t="n">
        <v>0</v>
      </c>
      <c r="P115" s="2" t="n">
        <v>0</v>
      </c>
      <c r="Q115" s="2">
        <f>N115 - P115</f>
        <v/>
      </c>
      <c r="R115" s="4" t="inlineStr">
        <is>
          <t>PO NOT Needed</t>
        </is>
      </c>
      <c r="S115" s="2" t="inlineStr">
        <is>
          <t>NC has enough on hand + on order (excl. this PO) to cover open sales</t>
        </is>
      </c>
    </row>
    <row r="116">
      <c r="A116" s="2" t="inlineStr">
        <is>
          <t>409696</t>
        </is>
      </c>
      <c r="B116" s="2" t="inlineStr">
        <is>
          <t>SAUCE BBQ CUP</t>
        </is>
      </c>
      <c r="C116" s="2" t="inlineStr">
        <is>
          <t>KRAFT HEINZ FOODS CO-DRY</t>
        </is>
      </c>
      <c r="D116" s="2" t="n">
        <v>865</v>
      </c>
      <c r="E116" s="2" t="n">
        <v>832</v>
      </c>
      <c r="F116" s="2" t="n">
        <v>208</v>
      </c>
      <c r="G116" s="2" t="inlineStr">
        <is>
          <t>2026/03/12</t>
        </is>
      </c>
      <c r="H116" s="2" t="inlineStr">
        <is>
          <t>PO</t>
        </is>
      </c>
      <c r="I116" s="2" t="inlineStr">
        <is>
          <t>No</t>
        </is>
      </c>
      <c r="J116" s="2" t="inlineStr"/>
      <c r="K116" s="2" t="n">
        <v>386</v>
      </c>
      <c r="L116" s="2">
        <f>D116 + (E116 - F116)</f>
        <v/>
      </c>
      <c r="M116" s="2">
        <f>MAX(0, K116 - L116)</f>
        <v/>
      </c>
      <c r="N116" s="2" t="n">
        <v>0</v>
      </c>
      <c r="O116" s="2" t="n">
        <v>0</v>
      </c>
      <c r="P116" s="2" t="n">
        <v>0</v>
      </c>
      <c r="Q116" s="2">
        <f>N116 - P116</f>
        <v/>
      </c>
      <c r="R116" s="4" t="inlineStr">
        <is>
          <t>PO NOT Needed</t>
        </is>
      </c>
      <c r="S116" s="2" t="inlineStr">
        <is>
          <t>NC has enough on hand + on order (excl. this PO) to cover open sales</t>
        </is>
      </c>
    </row>
    <row r="117">
      <c r="A117" s="2" t="inlineStr">
        <is>
          <t>409921</t>
        </is>
      </c>
      <c r="B117" s="2" t="inlineStr">
        <is>
          <t>BREADSTICK TWISTED TOP MOZ</t>
        </is>
      </c>
      <c r="C117" s="2" t="inlineStr">
        <is>
          <t>TASTY BRANDS LLC</t>
        </is>
      </c>
      <c r="D117" s="2" t="n">
        <v>31</v>
      </c>
      <c r="E117" s="2" t="n">
        <v>83</v>
      </c>
      <c r="F117" s="2" t="n">
        <v>21</v>
      </c>
      <c r="G117" s="2" t="inlineStr">
        <is>
          <t>2026/03/06</t>
        </is>
      </c>
      <c r="H117" s="2" t="inlineStr">
        <is>
          <t>PO</t>
        </is>
      </c>
      <c r="I117" s="2" t="inlineStr">
        <is>
          <t>No</t>
        </is>
      </c>
      <c r="J117" s="2" t="inlineStr"/>
      <c r="K117" s="2" t="n">
        <v>149</v>
      </c>
      <c r="L117" s="2">
        <f>D117 + (E117 - F117)</f>
        <v/>
      </c>
      <c r="M117" s="2">
        <f>MAX(0, K117 - L117)</f>
        <v/>
      </c>
      <c r="N117" s="2" t="n">
        <v>84</v>
      </c>
      <c r="O117" s="2" t="n">
        <v>0</v>
      </c>
      <c r="P117" s="2" t="n">
        <v>0</v>
      </c>
      <c r="Q117" s="2">
        <f>N117 - P117</f>
        <v/>
      </c>
      <c r="R117" s="4" t="inlineStr">
        <is>
          <t>PO NOT Needed</t>
        </is>
      </c>
      <c r="S117" s="2" t="inlineStr">
        <is>
          <t>CIC surplus of 84 can cover NC shortfall of 56</t>
        </is>
      </c>
    </row>
    <row r="118">
      <c r="A118" s="2" t="inlineStr">
        <is>
          <t>409960</t>
        </is>
      </c>
      <c r="B118" s="2" t="inlineStr">
        <is>
          <t>EMPANADA ENCHILADA IW</t>
        </is>
      </c>
      <c r="C118" s="2" t="inlineStr">
        <is>
          <t>ALBIES FOODS INC</t>
        </is>
      </c>
      <c r="D118" s="2" t="n">
        <v>32</v>
      </c>
      <c r="E118" s="2" t="n">
        <v>40</v>
      </c>
      <c r="F118" s="2" t="n">
        <v>40</v>
      </c>
      <c r="G118" s="2" t="inlineStr">
        <is>
          <t>2026/03/10</t>
        </is>
      </c>
      <c r="H118" s="3" t="inlineStr">
        <is>
          <t>Transfer Order</t>
        </is>
      </c>
      <c r="I118" s="2" t="inlineStr">
        <is>
          <t>Yes</t>
        </is>
      </c>
      <c r="J118" s="2" t="inlineStr">
        <is>
          <t>NC-TO007815</t>
        </is>
      </c>
      <c r="K118" s="2" t="n">
        <v>0</v>
      </c>
      <c r="L118" s="2">
        <f>D118 + E118</f>
        <v/>
      </c>
      <c r="M118" s="2">
        <f>MAX(0, K118 - L118)</f>
        <v/>
      </c>
      <c r="N118" s="2" t="n">
        <v>180</v>
      </c>
      <c r="O118" s="2" t="n">
        <v>0</v>
      </c>
      <c r="P118" s="2" t="n">
        <v>0</v>
      </c>
      <c r="Q118" s="2">
        <f>N118 - P118</f>
        <v/>
      </c>
      <c r="R118" s="4" t="inlineStr">
        <is>
          <t>PO NOT Needed</t>
        </is>
      </c>
      <c r="S118" s="2" t="inlineStr">
        <is>
          <t>NC has enough on hand + on order (excl. this PO) to cover open sales</t>
        </is>
      </c>
    </row>
    <row r="119">
      <c r="A119" s="2" t="inlineStr">
        <is>
          <t>410050</t>
        </is>
      </c>
      <c r="B119" s="2" t="inlineStr">
        <is>
          <t>CHICKEN CHUNKS BRD FC WG</t>
        </is>
      </c>
      <c r="C119" s="2" t="inlineStr">
        <is>
          <t>TYSON COMMODITY COMMERCIAL</t>
        </is>
      </c>
      <c r="D119" s="2" t="n">
        <v>181</v>
      </c>
      <c r="E119" s="2" t="n">
        <v>120</v>
      </c>
      <c r="F119" s="2" t="n">
        <v>80</v>
      </c>
      <c r="G119" s="2" t="inlineStr">
        <is>
          <t>2026/03/10</t>
        </is>
      </c>
      <c r="H119" s="2" t="inlineStr">
        <is>
          <t>PO</t>
        </is>
      </c>
      <c r="I119" s="2" t="inlineStr">
        <is>
          <t>No</t>
        </is>
      </c>
      <c r="J119" s="2" t="inlineStr"/>
      <c r="K119" s="2" t="n">
        <v>55</v>
      </c>
      <c r="L119" s="2">
        <f>D119 + (E119 - F119)</f>
        <v/>
      </c>
      <c r="M119" s="2">
        <f>MAX(0, K119 - L119)</f>
        <v/>
      </c>
      <c r="N119" s="2" t="n">
        <v>80</v>
      </c>
      <c r="O119" s="2" t="n">
        <v>0</v>
      </c>
      <c r="P119" s="2" t="n">
        <v>0</v>
      </c>
      <c r="Q119" s="2">
        <f>N119 - P119</f>
        <v/>
      </c>
      <c r="R119" s="4" t="inlineStr">
        <is>
          <t>PO NOT Needed</t>
        </is>
      </c>
      <c r="S119" s="2" t="inlineStr">
        <is>
          <t>NC has enough on hand + on order (excl. this PO) to cover open sales</t>
        </is>
      </c>
    </row>
    <row r="120">
      <c r="A120" s="2" t="inlineStr">
        <is>
          <t>410084</t>
        </is>
      </c>
      <c r="B120" s="2" t="inlineStr">
        <is>
          <t>CALZONE TURKEY SAUS EGG CHS IW</t>
        </is>
      </c>
      <c r="C120" s="2" t="inlineStr">
        <is>
          <t>ALBIES FOODS INC</t>
        </is>
      </c>
      <c r="D120" s="2" t="n">
        <v>25</v>
      </c>
      <c r="E120" s="2" t="n">
        <v>8</v>
      </c>
      <c r="F120" s="2" t="n">
        <v>8</v>
      </c>
      <c r="G120" s="2" t="inlineStr">
        <is>
          <t>2026/03/19</t>
        </is>
      </c>
      <c r="H120" s="3" t="inlineStr">
        <is>
          <t>Transfer Order</t>
        </is>
      </c>
      <c r="I120" s="2" t="inlineStr">
        <is>
          <t>No</t>
        </is>
      </c>
      <c r="J120" s="2" t="inlineStr">
        <is>
          <t>NC-TO007878</t>
        </is>
      </c>
      <c r="K120" s="2" t="n">
        <v>33</v>
      </c>
      <c r="L120" s="2">
        <f>D120 + E120</f>
        <v/>
      </c>
      <c r="M120" s="2">
        <f>MAX(0, K120 - L120)</f>
        <v/>
      </c>
      <c r="N120" s="2" t="n">
        <v>400</v>
      </c>
      <c r="O120" s="2" t="n">
        <v>0</v>
      </c>
      <c r="P120" s="2" t="n">
        <v>0</v>
      </c>
      <c r="Q120" s="2">
        <f>N120 - P120</f>
        <v/>
      </c>
      <c r="R120" s="4" t="inlineStr">
        <is>
          <t>PO NOT Needed</t>
        </is>
      </c>
      <c r="S120" s="2" t="inlineStr">
        <is>
          <t>NC has enough on hand + on order (excl. this PO) to cover open sales</t>
        </is>
      </c>
    </row>
    <row r="121">
      <c r="A121" s="2" t="inlineStr">
        <is>
          <t>410095</t>
        </is>
      </c>
      <c r="B121" s="2" t="inlineStr">
        <is>
          <t>SANDWICH TURKEY CHEESE WG IW</t>
        </is>
      </c>
      <c r="C121" s="2" t="inlineStr">
        <is>
          <t>TASTY BRANDS LLC</t>
        </is>
      </c>
      <c r="D121" s="2" t="n">
        <v>116</v>
      </c>
      <c r="E121" s="2" t="n">
        <v>60</v>
      </c>
      <c r="F121" s="2" t="n">
        <v>60</v>
      </c>
      <c r="G121" s="2" t="inlineStr">
        <is>
          <t>2026/03/11</t>
        </is>
      </c>
      <c r="H121" s="2" t="inlineStr">
        <is>
          <t>PO</t>
        </is>
      </c>
      <c r="I121" s="2" t="inlineStr">
        <is>
          <t>No</t>
        </is>
      </c>
      <c r="J121" s="2" t="inlineStr"/>
      <c r="K121" s="2" t="n">
        <v>31</v>
      </c>
      <c r="L121" s="2">
        <f>D121 + (E121 - F121)</f>
        <v/>
      </c>
      <c r="M121" s="2">
        <f>MAX(0, K121 - L121)</f>
        <v/>
      </c>
      <c r="N121" s="2" t="n">
        <v>120</v>
      </c>
      <c r="O121" s="2" t="n">
        <v>0</v>
      </c>
      <c r="P121" s="2" t="n">
        <v>0</v>
      </c>
      <c r="Q121" s="2">
        <f>N121 - P121</f>
        <v/>
      </c>
      <c r="R121" s="4" t="inlineStr">
        <is>
          <t>PO NOT Needed</t>
        </is>
      </c>
      <c r="S121" s="2" t="inlineStr">
        <is>
          <t>NC has enough on hand + on order (excl. this PO) to cover open sales</t>
        </is>
      </c>
    </row>
    <row r="122">
      <c r="A122" s="2" t="inlineStr">
        <is>
          <t>410138</t>
        </is>
      </c>
      <c r="B122" s="2" t="inlineStr">
        <is>
          <t>ELBOW MAC &amp; CHS RS WG</t>
        </is>
      </c>
      <c r="C122" s="2" t="inlineStr">
        <is>
          <t>JTM FOODGROUP</t>
        </is>
      </c>
      <c r="D122" s="2" t="n">
        <v>55</v>
      </c>
      <c r="E122" s="2" t="n">
        <v>80</v>
      </c>
      <c r="F122" s="2" t="n">
        <v>80</v>
      </c>
      <c r="G122" s="2" t="inlineStr">
        <is>
          <t>2026/03/13</t>
        </is>
      </c>
      <c r="H122" s="3" t="inlineStr">
        <is>
          <t>Transfer Order</t>
        </is>
      </c>
      <c r="I122" s="2" t="inlineStr">
        <is>
          <t>No</t>
        </is>
      </c>
      <c r="J122" s="2" t="inlineStr">
        <is>
          <t>NC-TO007786</t>
        </is>
      </c>
      <c r="K122" s="2" t="n">
        <v>60</v>
      </c>
      <c r="L122" s="2">
        <f>D122 + E122</f>
        <v/>
      </c>
      <c r="M122" s="2">
        <f>MAX(0, K122 - L122)</f>
        <v/>
      </c>
      <c r="N122" s="2" t="n">
        <v>240</v>
      </c>
      <c r="O122" s="2" t="n">
        <v>0</v>
      </c>
      <c r="P122" s="2" t="n">
        <v>0</v>
      </c>
      <c r="Q122" s="2">
        <f>N122 - P122</f>
        <v/>
      </c>
      <c r="R122" s="4" t="inlineStr">
        <is>
          <t>PO NOT Needed</t>
        </is>
      </c>
      <c r="S122" s="2" t="inlineStr">
        <is>
          <t>NC has enough on hand + on order (excl. this PO) to cover open sales</t>
        </is>
      </c>
    </row>
    <row r="123">
      <c r="A123" s="2" t="inlineStr">
        <is>
          <t>410158</t>
        </is>
      </c>
      <c r="B123" s="2" t="inlineStr">
        <is>
          <t>CMDY TACO STICK SPICY IW</t>
        </is>
      </c>
      <c r="C123" s="2" t="inlineStr">
        <is>
          <t>INTEGRATED FOOD SERVICE</t>
        </is>
      </c>
      <c r="D123" s="2" t="n">
        <v>0</v>
      </c>
      <c r="E123" s="2" t="n">
        <v>32</v>
      </c>
      <c r="F123" s="2" t="n">
        <v>32</v>
      </c>
      <c r="G123" s="2" t="inlineStr">
        <is>
          <t>2026/03/06</t>
        </is>
      </c>
      <c r="H123" s="2" t="inlineStr">
        <is>
          <t>PO</t>
        </is>
      </c>
      <c r="I123" s="2" t="inlineStr">
        <is>
          <t>No</t>
        </is>
      </c>
      <c r="J123" s="2" t="inlineStr"/>
      <c r="K123" s="2" t="n">
        <v>25</v>
      </c>
      <c r="L123" s="2">
        <f>D123 + (E123 - F123)</f>
        <v/>
      </c>
      <c r="M123" s="2">
        <f>MAX(0, K123 - L123)</f>
        <v/>
      </c>
      <c r="N123" s="2" t="n">
        <v>96</v>
      </c>
      <c r="O123" s="2" t="n">
        <v>0</v>
      </c>
      <c r="P123" s="2" t="n">
        <v>0</v>
      </c>
      <c r="Q123" s="2">
        <f>N123 - P123</f>
        <v/>
      </c>
      <c r="R123" s="4" t="inlineStr">
        <is>
          <t>PO NOT Needed</t>
        </is>
      </c>
      <c r="S123" s="2" t="inlineStr">
        <is>
          <t>CIC surplus of 96 can cover NC shortfall of 25</t>
        </is>
      </c>
    </row>
    <row r="124">
      <c r="A124" s="2" t="inlineStr">
        <is>
          <t>410379</t>
        </is>
      </c>
      <c r="B124" s="2" t="inlineStr">
        <is>
          <t>CHIC TENDERLOINS BREADED FC WG</t>
        </is>
      </c>
      <c r="C124" s="2" t="inlineStr">
        <is>
          <t>TYSON COMMODITY COMMERCIAL</t>
        </is>
      </c>
      <c r="D124" s="2" t="n">
        <v>86</v>
      </c>
      <c r="E124" s="2" t="n">
        <v>40</v>
      </c>
      <c r="F124" s="2" t="n">
        <v>40</v>
      </c>
      <c r="G124" s="2" t="inlineStr">
        <is>
          <t>2026/03/13</t>
        </is>
      </c>
      <c r="H124" s="3" t="inlineStr">
        <is>
          <t>Transfer Order</t>
        </is>
      </c>
      <c r="I124" s="2" t="inlineStr">
        <is>
          <t>No</t>
        </is>
      </c>
      <c r="J124" s="2" t="inlineStr">
        <is>
          <t>NC-TO007786</t>
        </is>
      </c>
      <c r="K124" s="2" t="n">
        <v>81</v>
      </c>
      <c r="L124" s="2">
        <f>D124 + E124</f>
        <v/>
      </c>
      <c r="M124" s="2">
        <f>MAX(0, K124 - L124)</f>
        <v/>
      </c>
      <c r="N124" s="2" t="n">
        <v>120</v>
      </c>
      <c r="O124" s="2" t="n">
        <v>0</v>
      </c>
      <c r="P124" s="2" t="n">
        <v>0</v>
      </c>
      <c r="Q124" s="2">
        <f>N124 - P124</f>
        <v/>
      </c>
      <c r="R124" s="4" t="inlineStr">
        <is>
          <t>PO NOT Needed</t>
        </is>
      </c>
      <c r="S124" s="2" t="inlineStr">
        <is>
          <t>NC has enough on hand + on order (excl. this PO) to cover open sales</t>
        </is>
      </c>
    </row>
    <row r="125">
      <c r="A125" s="2" t="inlineStr">
        <is>
          <t>410397</t>
        </is>
      </c>
      <c r="B125" s="2" t="inlineStr">
        <is>
          <t>BURRITO CHILE VERDE BN CHS IW</t>
        </is>
      </c>
      <c r="C125" s="2" t="inlineStr">
        <is>
          <t>ARDELLAS</t>
        </is>
      </c>
      <c r="D125" s="2" t="n">
        <v>240</v>
      </c>
      <c r="E125" s="2" t="n">
        <v>133</v>
      </c>
      <c r="F125" s="2" t="n">
        <v>77</v>
      </c>
      <c r="G125" s="2" t="inlineStr">
        <is>
          <t>2026/03/13</t>
        </is>
      </c>
      <c r="H125" s="2" t="inlineStr">
        <is>
          <t>PO</t>
        </is>
      </c>
      <c r="I125" s="2" t="inlineStr">
        <is>
          <t>No</t>
        </is>
      </c>
      <c r="J125" s="2" t="inlineStr"/>
      <c r="K125" s="2" t="n">
        <v>32</v>
      </c>
      <c r="L125" s="2">
        <f>D125 + (E125 - F125)</f>
        <v/>
      </c>
      <c r="M125" s="2">
        <f>MAX(0, K125 - L125)</f>
        <v/>
      </c>
      <c r="N125" s="2" t="n">
        <v>210</v>
      </c>
      <c r="O125" s="2" t="n">
        <v>0</v>
      </c>
      <c r="P125" s="2" t="n">
        <v>0</v>
      </c>
      <c r="Q125" s="2">
        <f>N125 - P125</f>
        <v/>
      </c>
      <c r="R125" s="4" t="inlineStr">
        <is>
          <t>PO NOT Needed</t>
        </is>
      </c>
      <c r="S125" s="2" t="inlineStr">
        <is>
          <t>NC has enough on hand + on order (excl. this PO) to cover open sales</t>
        </is>
      </c>
    </row>
    <row r="126">
      <c r="A126" s="2" t="inlineStr">
        <is>
          <t>410591</t>
        </is>
      </c>
      <c r="B126" s="2" t="inlineStr">
        <is>
          <t>PUPUSA BIRRIA CHEESE</t>
        </is>
      </c>
      <c r="C126" s="2" t="inlineStr">
        <is>
          <t>DEL REAL FOODS</t>
        </is>
      </c>
      <c r="D126" s="2" t="n">
        <v>80</v>
      </c>
      <c r="E126" s="2" t="n">
        <v>80</v>
      </c>
      <c r="F126" s="2" t="n">
        <v>80</v>
      </c>
      <c r="G126" s="2" t="inlineStr">
        <is>
          <t>2026/03/13</t>
        </is>
      </c>
      <c r="H126" s="2" t="inlineStr">
        <is>
          <t>PO</t>
        </is>
      </c>
      <c r="I126" s="2" t="inlineStr">
        <is>
          <t>No</t>
        </is>
      </c>
      <c r="J126" s="2" t="inlineStr"/>
      <c r="K126" s="2" t="n">
        <v>70</v>
      </c>
      <c r="L126" s="2">
        <f>D126 + (E126 - F126)</f>
        <v/>
      </c>
      <c r="M126" s="2">
        <f>MAX(0, K126 - L126)</f>
        <v/>
      </c>
      <c r="N126" s="2" t="n">
        <v>160</v>
      </c>
      <c r="O126" s="2" t="n">
        <v>0</v>
      </c>
      <c r="P126" s="2" t="n">
        <v>0</v>
      </c>
      <c r="Q126" s="2">
        <f>N126 - P126</f>
        <v/>
      </c>
      <c r="R126" s="4" t="inlineStr">
        <is>
          <t>PO NOT Needed</t>
        </is>
      </c>
      <c r="S126" s="2" t="inlineStr">
        <is>
          <t>NC has enough on hand + on order (excl. this PO) to cover open sales</t>
        </is>
      </c>
    </row>
    <row r="127">
      <c r="A127" s="2" t="inlineStr">
        <is>
          <t>410915</t>
        </is>
      </c>
      <c r="B127" s="2" t="inlineStr">
        <is>
          <t>PULL APARTS BUTTERED GARLIC IW</t>
        </is>
      </c>
      <c r="C127" s="2" t="inlineStr">
        <is>
          <t>ELYSIUM FOOD GROUP</t>
        </is>
      </c>
      <c r="D127" s="2" t="n">
        <v>137</v>
      </c>
      <c r="E127" s="2" t="n">
        <v>115</v>
      </c>
      <c r="F127" s="2" t="n">
        <v>15</v>
      </c>
      <c r="G127" s="2" t="inlineStr">
        <is>
          <t>2026/03/24</t>
        </is>
      </c>
      <c r="H127" s="3" t="inlineStr">
        <is>
          <t>Transfer Order</t>
        </is>
      </c>
      <c r="I127" s="2" t="inlineStr">
        <is>
          <t>No</t>
        </is>
      </c>
      <c r="J127" s="2" t="inlineStr">
        <is>
          <t>NC-TO007867</t>
        </is>
      </c>
      <c r="K127" s="2" t="n">
        <v>284</v>
      </c>
      <c r="L127" s="2">
        <f>D127 + E127</f>
        <v/>
      </c>
      <c r="M127" s="2">
        <f>MAX(0, K127 - L127)</f>
        <v/>
      </c>
      <c r="N127" s="2" t="n">
        <v>616</v>
      </c>
      <c r="O127" s="2" t="n">
        <v>0</v>
      </c>
      <c r="P127" s="2" t="n">
        <v>0</v>
      </c>
      <c r="Q127" s="2">
        <f>N127 - P127</f>
        <v/>
      </c>
      <c r="R127" s="4" t="inlineStr">
        <is>
          <t>PO NOT Needed</t>
        </is>
      </c>
      <c r="S127" s="2" t="inlineStr">
        <is>
          <t>CIC surplus of 616 can cover NC shortfall of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7" customWidth="1" min="3" max="3"/>
    <col width="18" customWidth="1" min="4" max="4"/>
    <col width="16" customWidth="1" min="5" max="5"/>
    <col width="55" customWidth="1" min="6" max="6"/>
  </cols>
  <sheetData>
    <row r="1">
      <c r="A1" s="1" t="inlineStr">
        <is>
          <t>Item Code</t>
        </is>
      </c>
      <c r="B1" s="1" t="inlineStr">
        <is>
          <t>Item Description</t>
        </is>
      </c>
      <c r="C1" s="1" t="inlineStr">
        <is>
          <t>NC Next PO/TO Qty</t>
        </is>
      </c>
      <c r="D1" s="1" t="inlineStr">
        <is>
          <t>NC Next PO/TO Date</t>
        </is>
      </c>
      <c r="E1" s="1" t="inlineStr">
        <is>
          <t>Order Type</t>
        </is>
      </c>
      <c r="F1" s="1" t="inlineStr">
        <is>
          <t>Reason</t>
        </is>
      </c>
    </row>
    <row r="2">
      <c r="A2" s="2" t="inlineStr">
        <is>
          <t>101006</t>
        </is>
      </c>
      <c r="B2" s="2" t="inlineStr">
        <is>
          <t>TURKEY FRANKS 5" 8/1</t>
        </is>
      </c>
      <c r="C2" s="2" t="n">
        <v>7</v>
      </c>
      <c r="D2" s="2" t="inlineStr">
        <is>
          <t>2026/03/20</t>
        </is>
      </c>
      <c r="E2" s="2" t="inlineStr">
        <is>
          <t>Transfer Order</t>
        </is>
      </c>
      <c r="F2" s="2" t="inlineStr">
        <is>
          <t>NC has enough on hand + on order (excl. this PO) to cover open sales</t>
        </is>
      </c>
    </row>
    <row r="3">
      <c r="A3" s="2" t="inlineStr">
        <is>
          <t>101610</t>
        </is>
      </c>
      <c r="B3" s="2" t="inlineStr">
        <is>
          <t>CROISSANT BAKED SLICED</t>
        </is>
      </c>
      <c r="C3" s="2" t="n">
        <v>42</v>
      </c>
      <c r="D3" s="2" t="inlineStr">
        <is>
          <t>2026/03/12</t>
        </is>
      </c>
      <c r="E3" s="2" t="inlineStr">
        <is>
          <t>Transfer Order</t>
        </is>
      </c>
      <c r="F3" s="2" t="inlineStr">
        <is>
          <t>NC has enough on hand + on order (excl. this PO) to cover open sales</t>
        </is>
      </c>
    </row>
    <row r="4">
      <c r="A4" s="2" t="inlineStr">
        <is>
          <t>101682</t>
        </is>
      </c>
      <c r="B4" s="2" t="inlineStr">
        <is>
          <t>PORK RIB PATTY W HNY BBQ FC CN</t>
        </is>
      </c>
      <c r="C4" s="2" t="n">
        <v>54</v>
      </c>
      <c r="D4" s="2" t="inlineStr">
        <is>
          <t>2026/03/20</t>
        </is>
      </c>
      <c r="E4" s="2" t="inlineStr">
        <is>
          <t>Transfer Order</t>
        </is>
      </c>
      <c r="F4" s="2" t="inlineStr">
        <is>
          <t>NC has enough on hand + on order (excl. this PO) to cover open sales</t>
        </is>
      </c>
    </row>
    <row r="5">
      <c r="A5" s="2" t="inlineStr">
        <is>
          <t>102184</t>
        </is>
      </c>
      <c r="B5" s="2" t="inlineStr">
        <is>
          <t>ROLL DINNER WHOLE WHEAT IW</t>
        </is>
      </c>
      <c r="C5" s="2" t="n">
        <v>94</v>
      </c>
      <c r="D5" s="2" t="inlineStr">
        <is>
          <t>2026/03/12</t>
        </is>
      </c>
      <c r="E5" s="2" t="inlineStr">
        <is>
          <t>Transfer Order</t>
        </is>
      </c>
      <c r="F5" s="2" t="inlineStr">
        <is>
          <t>NC has enough on hand + on order (excl. this PO) to cover open sales</t>
        </is>
      </c>
    </row>
    <row r="6">
      <c r="A6" s="2" t="inlineStr">
        <is>
          <t>102242</t>
        </is>
      </c>
      <c r="B6" s="2" t="inlineStr">
        <is>
          <t>51% HONEY WHEAT BRKFST BAR IW</t>
        </is>
      </c>
      <c r="C6" s="2" t="n">
        <v>54</v>
      </c>
      <c r="D6" s="2" t="inlineStr">
        <is>
          <t>2026/03/06</t>
        </is>
      </c>
      <c r="E6" s="2" t="inlineStr">
        <is>
          <t>Transfer Order</t>
        </is>
      </c>
      <c r="F6" s="2" t="inlineStr">
        <is>
          <t>NC has enough on hand + on order (excl. this PO) to cover open sales</t>
        </is>
      </c>
    </row>
    <row r="7">
      <c r="A7" s="2" t="inlineStr">
        <is>
          <t>102256</t>
        </is>
      </c>
      <c r="B7" s="2" t="inlineStr">
        <is>
          <t>LOAF CORN BREAD WG IW</t>
        </is>
      </c>
      <c r="C7" s="2" t="n">
        <v>84</v>
      </c>
      <c r="D7" s="2" t="inlineStr">
        <is>
          <t>2026/03/19</t>
        </is>
      </c>
      <c r="E7" s="2" t="inlineStr">
        <is>
          <t>PO</t>
        </is>
      </c>
      <c r="F7" s="2" t="inlineStr">
        <is>
          <t>CIC surplus of 120 can cover NC shortfall of 36</t>
        </is>
      </c>
    </row>
    <row r="8">
      <c r="A8" s="2" t="inlineStr">
        <is>
          <t>102462</t>
        </is>
      </c>
      <c r="B8" s="2" t="inlineStr">
        <is>
          <t>JUICE 100% ORANGE CARTON</t>
        </is>
      </c>
      <c r="C8" s="2" t="n">
        <v>320</v>
      </c>
      <c r="D8" s="2" t="inlineStr">
        <is>
          <t>2026/03/15</t>
        </is>
      </c>
      <c r="E8" s="2" t="inlineStr">
        <is>
          <t>PO</t>
        </is>
      </c>
      <c r="F8" s="2" t="inlineStr">
        <is>
          <t>CIC surplus of 400 can cover NC shortfall of 71</t>
        </is>
      </c>
    </row>
    <row r="9">
      <c r="A9" s="2" t="inlineStr">
        <is>
          <t>110793</t>
        </is>
      </c>
      <c r="B9" s="2" t="inlineStr">
        <is>
          <t>COOKIE DOUGH CHC CHIP 51%RF WG</t>
        </is>
      </c>
      <c r="C9" s="2" t="n">
        <v>336</v>
      </c>
      <c r="D9" s="2" t="inlineStr">
        <is>
          <t>2026/03/14</t>
        </is>
      </c>
      <c r="E9" s="2" t="inlineStr">
        <is>
          <t>PO</t>
        </is>
      </c>
      <c r="F9" s="2" t="inlineStr">
        <is>
          <t>NC has enough on hand + on order (excl. this PO) to cover open sales</t>
        </is>
      </c>
    </row>
    <row r="10">
      <c r="A10" s="2" t="inlineStr">
        <is>
          <t>113034</t>
        </is>
      </c>
      <c r="B10" s="2" t="inlineStr">
        <is>
          <t>CRUMB SQUARE WG IW</t>
        </is>
      </c>
      <c r="C10" s="2" t="n">
        <v>50</v>
      </c>
      <c r="D10" s="2" t="inlineStr">
        <is>
          <t>2026/03/24</t>
        </is>
      </c>
      <c r="E10" s="2" t="inlineStr">
        <is>
          <t>PO</t>
        </is>
      </c>
      <c r="F10" s="2" t="inlineStr">
        <is>
          <t>NC has enough on hand + on order (excl. this PO) to cover open sales</t>
        </is>
      </c>
    </row>
    <row r="11">
      <c r="A11" s="2" t="inlineStr">
        <is>
          <t>113232</t>
        </is>
      </c>
      <c r="B11" s="2" t="inlineStr">
        <is>
          <t>BENEFIT BRKFST BAR OAT/CHOC IW</t>
        </is>
      </c>
      <c r="C11" s="2" t="n">
        <v>1540</v>
      </c>
      <c r="D11" s="2" t="inlineStr">
        <is>
          <t>2026/03/08</t>
        </is>
      </c>
      <c r="E11" s="2" t="inlineStr">
        <is>
          <t>PO</t>
        </is>
      </c>
      <c r="F11" s="2" t="inlineStr">
        <is>
          <t>NC has enough on hand + on order (excl. this PO) to cover open sales</t>
        </is>
      </c>
    </row>
    <row r="12">
      <c r="A12" s="2" t="inlineStr">
        <is>
          <t>133652</t>
        </is>
      </c>
      <c r="B12" s="2" t="inlineStr">
        <is>
          <t>PATTY PROTEIN VEGGIE</t>
        </is>
      </c>
      <c r="C12" s="2" t="n">
        <v>105</v>
      </c>
      <c r="D12" s="2" t="inlineStr">
        <is>
          <t>2026/03/13</t>
        </is>
      </c>
      <c r="E12" s="2" t="inlineStr">
        <is>
          <t>PO</t>
        </is>
      </c>
      <c r="F12" s="2" t="inlineStr">
        <is>
          <t>NC has enough on hand + on order (excl. this PO) to cover open sales</t>
        </is>
      </c>
    </row>
    <row r="13">
      <c r="A13" s="2" t="inlineStr">
        <is>
          <t>133843</t>
        </is>
      </c>
      <c r="B13" s="2" t="inlineStr">
        <is>
          <t>CONCHA PINK WG IW</t>
        </is>
      </c>
      <c r="C13" s="2" t="n">
        <v>70</v>
      </c>
      <c r="D13" s="2" t="inlineStr">
        <is>
          <t>2026/03/12</t>
        </is>
      </c>
      <c r="E13" s="2" t="inlineStr">
        <is>
          <t>Transfer Order</t>
        </is>
      </c>
      <c r="F13" s="2" t="inlineStr">
        <is>
          <t>NC has enough on hand + on order (excl. this PO) to cover open sales</t>
        </is>
      </c>
    </row>
    <row r="14">
      <c r="A14" s="2" t="inlineStr">
        <is>
          <t>134231</t>
        </is>
      </c>
      <c r="B14" s="2" t="inlineStr">
        <is>
          <t>MUFFIN ENGLISH 3.5" SLICED WG</t>
        </is>
      </c>
      <c r="C14" s="2" t="n">
        <v>42</v>
      </c>
      <c r="D14" s="2" t="inlineStr">
        <is>
          <t>2026/03/12</t>
        </is>
      </c>
      <c r="E14" s="2" t="inlineStr">
        <is>
          <t>PO</t>
        </is>
      </c>
      <c r="F14" s="2" t="inlineStr">
        <is>
          <t>NC has enough on hand + on order (excl. this PO) to cover open sales</t>
        </is>
      </c>
    </row>
    <row r="15">
      <c r="A15" s="2" t="inlineStr">
        <is>
          <t>134267</t>
        </is>
      </c>
      <c r="B15" s="2" t="inlineStr">
        <is>
          <t>WAFFLE MINI BLUEBERRY BASH IW</t>
        </is>
      </c>
      <c r="C15" s="2" t="n">
        <v>56</v>
      </c>
      <c r="D15" s="2" t="inlineStr">
        <is>
          <t>2026/03/13</t>
        </is>
      </c>
      <c r="E15" s="2" t="inlineStr">
        <is>
          <t>Transfer Order</t>
        </is>
      </c>
      <c r="F15" s="2" t="inlineStr">
        <is>
          <t>NC has enough on hand + on order (excl. this PO) to cover open sales</t>
        </is>
      </c>
    </row>
    <row r="16">
      <c r="A16" s="2" t="inlineStr">
        <is>
          <t>134284</t>
        </is>
      </c>
      <c r="B16" s="2" t="inlineStr">
        <is>
          <t>WAFFLE MINI CINN WG IW</t>
        </is>
      </c>
      <c r="C16" s="2" t="n">
        <v>112</v>
      </c>
      <c r="D16" s="2" t="inlineStr">
        <is>
          <t>2026/03/08</t>
        </is>
      </c>
      <c r="E16" s="2" t="inlineStr">
        <is>
          <t>PO</t>
        </is>
      </c>
      <c r="F16" s="2" t="inlineStr">
        <is>
          <t>NC has enough on hand + on order (excl. this PO) to cover open sales</t>
        </is>
      </c>
    </row>
    <row r="17">
      <c r="A17" s="2" t="inlineStr">
        <is>
          <t>134309</t>
        </is>
      </c>
      <c r="B17" s="2" t="inlineStr">
        <is>
          <t>BAGEL WHEAT SLICED WG</t>
        </is>
      </c>
      <c r="C17" s="2" t="n">
        <v>98</v>
      </c>
      <c r="D17" s="2" t="inlineStr">
        <is>
          <t>2026/03/11</t>
        </is>
      </c>
      <c r="E17" s="2" t="inlineStr">
        <is>
          <t>PO</t>
        </is>
      </c>
      <c r="F17" s="2" t="inlineStr">
        <is>
          <t>NC has enough on hand + on order (excl. this PO) to cover open sales</t>
        </is>
      </c>
    </row>
    <row r="18">
      <c r="A18" s="2" t="inlineStr">
        <is>
          <t>134543</t>
        </is>
      </c>
      <c r="B18" s="2" t="inlineStr">
        <is>
          <t>CRUSTLESS SOY BUTTER JELLY WG</t>
        </is>
      </c>
      <c r="C18" s="2" t="n">
        <v>240</v>
      </c>
      <c r="D18" s="2" t="inlineStr">
        <is>
          <t>2026/03/11</t>
        </is>
      </c>
      <c r="E18" s="2" t="inlineStr">
        <is>
          <t>PO</t>
        </is>
      </c>
      <c r="F18" s="2" t="inlineStr">
        <is>
          <t>NC has enough on hand + on order (excl. this PO) to cover open sales</t>
        </is>
      </c>
    </row>
    <row r="19">
      <c r="A19" s="2" t="inlineStr">
        <is>
          <t>134628</t>
        </is>
      </c>
      <c r="B19" s="2" t="inlineStr">
        <is>
          <t>TOAST FRENCH MINI ORIG WG IW</t>
        </is>
      </c>
      <c r="C19" s="2" t="n">
        <v>24</v>
      </c>
      <c r="D19" s="2" t="inlineStr">
        <is>
          <t>2026/03/06</t>
        </is>
      </c>
      <c r="E19" s="2" t="inlineStr">
        <is>
          <t>PO</t>
        </is>
      </c>
      <c r="F19" s="2" t="inlineStr">
        <is>
          <t>CIC surplus of 175 can cover NC shortfall of 9</t>
        </is>
      </c>
    </row>
    <row r="20">
      <c r="A20" s="2" t="inlineStr">
        <is>
          <t>134667</t>
        </is>
      </c>
      <c r="B20" s="2" t="inlineStr">
        <is>
          <t>COOKIE RF C/CHIP WG IW</t>
        </is>
      </c>
      <c r="C20" s="2" t="n">
        <v>48</v>
      </c>
      <c r="D20" s="2" t="inlineStr">
        <is>
          <t>2026/03/06</t>
        </is>
      </c>
      <c r="E20" s="2" t="inlineStr">
        <is>
          <t>PO</t>
        </is>
      </c>
      <c r="F20" s="2" t="inlineStr">
        <is>
          <t>NC has enough on hand + on order (excl. this PO) to cover open sales</t>
        </is>
      </c>
    </row>
    <row r="21">
      <c r="A21" s="2" t="inlineStr">
        <is>
          <t>134668</t>
        </is>
      </c>
      <c r="B21" s="2" t="inlineStr">
        <is>
          <t>RF COOKIE CHOC CHP WG IW</t>
        </is>
      </c>
      <c r="C21" s="2" t="n">
        <v>60</v>
      </c>
      <c r="D21" s="2" t="inlineStr">
        <is>
          <t>2026/03/25</t>
        </is>
      </c>
      <c r="E21" s="2" t="inlineStr">
        <is>
          <t>PO</t>
        </is>
      </c>
      <c r="F21" s="2" t="inlineStr">
        <is>
          <t>NC has enough on hand + on order (excl. this PO) to cover open sales</t>
        </is>
      </c>
    </row>
    <row r="22">
      <c r="A22" s="2" t="inlineStr">
        <is>
          <t>134749</t>
        </is>
      </c>
      <c r="B22" s="2" t="inlineStr">
        <is>
          <t>MUFFIN CHOC CHOC CHIP WG IW</t>
        </is>
      </c>
      <c r="C22" s="2" t="n">
        <v>70</v>
      </c>
      <c r="D22" s="2" t="inlineStr">
        <is>
          <t>2026/03/14</t>
        </is>
      </c>
      <c r="E22" s="2" t="inlineStr">
        <is>
          <t>PO</t>
        </is>
      </c>
      <c r="F22" s="2" t="inlineStr">
        <is>
          <t>NC has enough on hand + on order (excl. this PO) to cover open sales</t>
        </is>
      </c>
    </row>
    <row r="23">
      <c r="A23" s="2" t="inlineStr">
        <is>
          <t>134776</t>
        </is>
      </c>
      <c r="B23" s="2" t="inlineStr">
        <is>
          <t>WOWBUTTER JELLY W/ CRUST WG</t>
        </is>
      </c>
      <c r="C23" s="2" t="n">
        <v>96</v>
      </c>
      <c r="D23" s="2" t="inlineStr">
        <is>
          <t>2026/03/10</t>
        </is>
      </c>
      <c r="E23" s="2" t="inlineStr">
        <is>
          <t>Transfer Order</t>
        </is>
      </c>
      <c r="F23" s="2" t="inlineStr">
        <is>
          <t>NC has enough on hand + on order (excl. this PO) to cover open sales</t>
        </is>
      </c>
    </row>
    <row r="24">
      <c r="A24" s="2" t="inlineStr">
        <is>
          <t>138932</t>
        </is>
      </c>
      <c r="B24" s="2" t="inlineStr">
        <is>
          <t>COOKIE RED VELVET WG IW</t>
        </is>
      </c>
      <c r="C24" s="2" t="n">
        <v>40</v>
      </c>
      <c r="D24" s="2" t="inlineStr">
        <is>
          <t>2026/03/15</t>
        </is>
      </c>
      <c r="E24" s="2" t="inlineStr">
        <is>
          <t>PO</t>
        </is>
      </c>
      <c r="F24" s="2" t="inlineStr">
        <is>
          <t>NC has enough on hand + on order (excl. this PO) to cover open sales</t>
        </is>
      </c>
    </row>
    <row r="25">
      <c r="A25" s="2" t="inlineStr">
        <is>
          <t>138940</t>
        </is>
      </c>
      <c r="B25" s="2" t="inlineStr">
        <is>
          <t>8/1 TURKEY FRANKS</t>
        </is>
      </c>
      <c r="C25" s="2" t="n">
        <v>72</v>
      </c>
      <c r="D25" s="2" t="inlineStr">
        <is>
          <t>2026/03/11</t>
        </is>
      </c>
      <c r="E25" s="2" t="inlineStr">
        <is>
          <t>PO</t>
        </is>
      </c>
      <c r="F25" s="2" t="inlineStr">
        <is>
          <t>NC has enough on hand + on order (excl. this PO) to cover open sales</t>
        </is>
      </c>
    </row>
    <row r="26">
      <c r="A26" s="2" t="inlineStr">
        <is>
          <t>139005</t>
        </is>
      </c>
      <c r="B26" s="2" t="inlineStr">
        <is>
          <t>PASTA PENNE RIGATI HC WW WG</t>
        </is>
      </c>
      <c r="C26" s="2" t="n">
        <v>420</v>
      </c>
      <c r="D26" s="2" t="inlineStr">
        <is>
          <t>2026/03/15</t>
        </is>
      </c>
      <c r="E26" s="2" t="inlineStr">
        <is>
          <t>PO</t>
        </is>
      </c>
      <c r="F26" s="2" t="inlineStr">
        <is>
          <t>NC has enough on hand + on order (excl. this PO) to cover open sales</t>
        </is>
      </c>
    </row>
    <row r="27">
      <c r="A27" s="2" t="inlineStr">
        <is>
          <t>139662</t>
        </is>
      </c>
      <c r="B27" s="2" t="inlineStr">
        <is>
          <t>DONUT CHOC ENROBED MINI WG IW</t>
        </is>
      </c>
      <c r="C27" s="2" t="n">
        <v>128</v>
      </c>
      <c r="D27" s="2" t="inlineStr">
        <is>
          <t>2026/03/20</t>
        </is>
      </c>
      <c r="E27" s="2" t="inlineStr">
        <is>
          <t>PO</t>
        </is>
      </c>
      <c r="F27" s="2" t="inlineStr">
        <is>
          <t>NC has enough on hand + on order (excl. this PO) to cover open sales</t>
        </is>
      </c>
    </row>
    <row r="28">
      <c r="A28" s="2" t="inlineStr">
        <is>
          <t>140105</t>
        </is>
      </c>
      <c r="B28" s="2" t="inlineStr">
        <is>
          <t>BISCUIT HONEY WW IW</t>
        </is>
      </c>
      <c r="C28" s="2" t="n">
        <v>112</v>
      </c>
      <c r="D28" s="2" t="inlineStr">
        <is>
          <t>2026/03/12</t>
        </is>
      </c>
      <c r="E28" s="2" t="inlineStr">
        <is>
          <t>Transfer Order</t>
        </is>
      </c>
      <c r="F28" s="2" t="inlineStr">
        <is>
          <t>NC has enough on hand + on order (excl. this PO) to cover open sales</t>
        </is>
      </c>
    </row>
    <row r="29">
      <c r="A29" s="2" t="inlineStr">
        <is>
          <t>141041</t>
        </is>
      </c>
      <c r="B29" s="2" t="inlineStr">
        <is>
          <t>PANCAKE BUTTERMILK BULK WG</t>
        </is>
      </c>
      <c r="C29" s="2" t="n">
        <v>288</v>
      </c>
      <c r="D29" s="2" t="inlineStr">
        <is>
          <t>2026/03/19</t>
        </is>
      </c>
      <c r="E29" s="2" t="inlineStr">
        <is>
          <t>PO</t>
        </is>
      </c>
      <c r="F29" s="2" t="inlineStr">
        <is>
          <t>NC has enough on hand + on order (excl. this PO) to cover open sales</t>
        </is>
      </c>
    </row>
    <row r="30">
      <c r="A30" s="2" t="inlineStr">
        <is>
          <t>141047</t>
        </is>
      </c>
      <c r="B30" s="2" t="inlineStr">
        <is>
          <t>WAFFLE GOURMET BULK WG</t>
        </is>
      </c>
      <c r="C30" s="2" t="n">
        <v>480</v>
      </c>
      <c r="D30" s="2" t="inlineStr">
        <is>
          <t>2026/03/19</t>
        </is>
      </c>
      <c r="E30" s="2" t="inlineStr">
        <is>
          <t>PO</t>
        </is>
      </c>
      <c r="F30" s="2" t="inlineStr">
        <is>
          <t>NC has enough on hand + on order (excl. this PO) to cover open sales</t>
        </is>
      </c>
    </row>
    <row r="31">
      <c r="A31" s="2" t="inlineStr">
        <is>
          <t>141160</t>
        </is>
      </c>
      <c r="B31" s="2" t="inlineStr">
        <is>
          <t>PANCAKES CINN GLAZE WG IW</t>
        </is>
      </c>
      <c r="C31" s="2" t="n">
        <v>60</v>
      </c>
      <c r="D31" s="2" t="inlineStr">
        <is>
          <t>2026/03/12</t>
        </is>
      </c>
      <c r="E31" s="2" t="inlineStr">
        <is>
          <t>PO</t>
        </is>
      </c>
      <c r="F31" s="2" t="inlineStr">
        <is>
          <t>NC has enough on hand + on order (excl. this PO) to cover open sales</t>
        </is>
      </c>
    </row>
    <row r="32">
      <c r="A32" s="2" t="inlineStr">
        <is>
          <t>141222</t>
        </is>
      </c>
      <c r="B32" s="2" t="inlineStr">
        <is>
          <t>PASTA PENNE RIGATI PRECKD WG</t>
        </is>
      </c>
      <c r="C32" s="2" t="n">
        <v>140</v>
      </c>
      <c r="D32" s="2" t="inlineStr">
        <is>
          <t>2026/03/15</t>
        </is>
      </c>
      <c r="E32" s="2" t="inlineStr">
        <is>
          <t>PO</t>
        </is>
      </c>
      <c r="F32" s="2" t="inlineStr">
        <is>
          <t>NC has enough on hand + on order (excl. this PO) to cover open sales</t>
        </is>
      </c>
    </row>
    <row r="33">
      <c r="A33" s="2" t="inlineStr">
        <is>
          <t>141316</t>
        </is>
      </c>
      <c r="B33" s="2" t="inlineStr">
        <is>
          <t>MUFFIN ENGLISH 3.5" SLICED WG</t>
        </is>
      </c>
      <c r="C33" s="2" t="n">
        <v>78</v>
      </c>
      <c r="D33" s="2" t="inlineStr">
        <is>
          <t>2026/03/10</t>
        </is>
      </c>
      <c r="E33" s="2" t="inlineStr">
        <is>
          <t>Transfer Order</t>
        </is>
      </c>
      <c r="F33" s="2" t="inlineStr">
        <is>
          <t>NC has enough on hand + on order (excl. this PO) to cover open sales</t>
        </is>
      </c>
    </row>
    <row r="34">
      <c r="A34" s="2" t="inlineStr">
        <is>
          <t>141360</t>
        </is>
      </c>
      <c r="B34" s="2" t="inlineStr">
        <is>
          <t>WAFFLE 4"</t>
        </is>
      </c>
      <c r="C34" s="2" t="n">
        <v>70</v>
      </c>
      <c r="D34" s="2" t="inlineStr">
        <is>
          <t>2026/03/14</t>
        </is>
      </c>
      <c r="E34" s="2" t="inlineStr">
        <is>
          <t>PO</t>
        </is>
      </c>
      <c r="F34" s="2" t="inlineStr">
        <is>
          <t>NC has enough on hand + on order (excl. this PO) to cover open sales</t>
        </is>
      </c>
    </row>
    <row r="35">
      <c r="A35" s="2" t="inlineStr">
        <is>
          <t>142893</t>
        </is>
      </c>
      <c r="B35" s="2" t="inlineStr">
        <is>
          <t>BISCUIT BAKED EASY SPLIT RS</t>
        </is>
      </c>
      <c r="C35" s="2" t="n">
        <v>48</v>
      </c>
      <c r="D35" s="2" t="inlineStr">
        <is>
          <t>2026/03/12</t>
        </is>
      </c>
      <c r="E35" s="2" t="inlineStr">
        <is>
          <t>Transfer Order</t>
        </is>
      </c>
      <c r="F35" s="2" t="inlineStr">
        <is>
          <t>NC has enough on hand + on order (excl. this PO) to cover open sales</t>
        </is>
      </c>
    </row>
    <row r="36">
      <c r="A36" s="2" t="inlineStr">
        <is>
          <t>142923</t>
        </is>
      </c>
      <c r="B36" s="2" t="inlineStr">
        <is>
          <t>SANDWICH SUB TURKEY CHEESE IW</t>
        </is>
      </c>
      <c r="C36" s="2" t="n">
        <v>160</v>
      </c>
      <c r="D36" s="2" t="inlineStr">
        <is>
          <t>2026/03/06</t>
        </is>
      </c>
      <c r="E36" s="2" t="inlineStr">
        <is>
          <t>PO</t>
        </is>
      </c>
      <c r="F36" s="2" t="inlineStr">
        <is>
          <t>NC has enough on hand + on order (excl. this PO) to cover open sales</t>
        </is>
      </c>
    </row>
    <row r="37">
      <c r="A37" s="2" t="inlineStr">
        <is>
          <t>142943</t>
        </is>
      </c>
      <c r="B37" s="2" t="inlineStr">
        <is>
          <t>CHICKEN FRIED RICE BOWL</t>
        </is>
      </c>
      <c r="C37" s="2" t="n">
        <v>28</v>
      </c>
      <c r="D37" s="2" t="inlineStr">
        <is>
          <t>2026/03/10</t>
        </is>
      </c>
      <c r="E37" s="2" t="inlineStr">
        <is>
          <t>PO</t>
        </is>
      </c>
      <c r="F37" s="2" t="inlineStr">
        <is>
          <t>NC has enough on hand + on order (excl. this PO) to cover open sales</t>
        </is>
      </c>
    </row>
    <row r="38">
      <c r="A38" s="2" t="inlineStr">
        <is>
          <t>143253</t>
        </is>
      </c>
      <c r="B38" s="2" t="inlineStr">
        <is>
          <t>JUICE ORANGE</t>
        </is>
      </c>
      <c r="C38" s="2" t="n">
        <v>160</v>
      </c>
      <c r="D38" s="2" t="inlineStr">
        <is>
          <t>2026/03/11</t>
        </is>
      </c>
      <c r="E38" s="2" t="inlineStr">
        <is>
          <t>Transfer Order</t>
        </is>
      </c>
      <c r="F38" s="2" t="inlineStr">
        <is>
          <t>NC has enough on hand + on order (excl. this PO) to cover open sales</t>
        </is>
      </c>
    </row>
    <row r="39">
      <c r="A39" s="2" t="inlineStr">
        <is>
          <t>143254</t>
        </is>
      </c>
      <c r="B39" s="2" t="inlineStr">
        <is>
          <t>JUICE APPLE</t>
        </is>
      </c>
      <c r="C39" s="2" t="n">
        <v>200</v>
      </c>
      <c r="D39" s="2" t="inlineStr">
        <is>
          <t>2026/03/06</t>
        </is>
      </c>
      <c r="E39" s="2" t="inlineStr">
        <is>
          <t>Transfer Order</t>
        </is>
      </c>
      <c r="F39" s="2" t="inlineStr">
        <is>
          <t>NC has enough on hand + on order (excl. this PO) to cover open sales</t>
        </is>
      </c>
    </row>
    <row r="40">
      <c r="A40" s="2" t="inlineStr">
        <is>
          <t>143256</t>
        </is>
      </c>
      <c r="B40" s="2" t="inlineStr">
        <is>
          <t>JUICE FRUIT PUNCH</t>
        </is>
      </c>
      <c r="C40" s="2" t="n">
        <v>480</v>
      </c>
      <c r="D40" s="2" t="inlineStr">
        <is>
          <t>2026/03/14</t>
        </is>
      </c>
      <c r="E40" s="2" t="inlineStr">
        <is>
          <t>PO</t>
        </is>
      </c>
      <c r="F40" s="2" t="inlineStr">
        <is>
          <t>NC has enough on hand + on order (excl. this PO) to cover open sales</t>
        </is>
      </c>
    </row>
    <row r="41">
      <c r="A41" s="2" t="inlineStr">
        <is>
          <t>144042</t>
        </is>
      </c>
      <c r="B41" s="2" t="inlineStr">
        <is>
          <t>WINGS BUFFALO VEGAN</t>
        </is>
      </c>
      <c r="C41" s="2" t="n">
        <v>60</v>
      </c>
      <c r="D41" s="2" t="inlineStr">
        <is>
          <t>2026/03/10</t>
        </is>
      </c>
      <c r="E41" s="2" t="inlineStr">
        <is>
          <t>Transfer Order</t>
        </is>
      </c>
      <c r="F41" s="2" t="inlineStr">
        <is>
          <t>NC has enough on hand + on order (excl. this PO) to cover open sales</t>
        </is>
      </c>
    </row>
    <row r="42">
      <c r="A42" s="2" t="inlineStr">
        <is>
          <t>144045</t>
        </is>
      </c>
      <c r="B42" s="2" t="inlineStr">
        <is>
          <t>DILLA QUESADILLA THREE CHEESE</t>
        </is>
      </c>
      <c r="C42" s="2" t="n">
        <v>312</v>
      </c>
      <c r="D42" s="2" t="inlineStr">
        <is>
          <t>2026/03/14</t>
        </is>
      </c>
      <c r="E42" s="2" t="inlineStr">
        <is>
          <t>PO</t>
        </is>
      </c>
      <c r="F42" s="2" t="inlineStr">
        <is>
          <t>NC has enough on hand + on order (excl. this PO) to cover open sales</t>
        </is>
      </c>
    </row>
    <row r="43">
      <c r="A43" s="2" t="inlineStr">
        <is>
          <t>144436</t>
        </is>
      </c>
      <c r="B43" s="2" t="inlineStr">
        <is>
          <t>CROISSANT MARGARINE SLICED RF</t>
        </is>
      </c>
      <c r="C43" s="2" t="n">
        <v>28</v>
      </c>
      <c r="D43" s="2" t="inlineStr">
        <is>
          <t>2026/03/26</t>
        </is>
      </c>
      <c r="E43" s="2" t="inlineStr">
        <is>
          <t>PO</t>
        </is>
      </c>
      <c r="F43" s="2" t="inlineStr">
        <is>
          <t>NC has enough on hand + on order (excl. this PO) to cover open sales</t>
        </is>
      </c>
    </row>
    <row r="44">
      <c r="A44" s="2" t="inlineStr">
        <is>
          <t>144561</t>
        </is>
      </c>
      <c r="B44" s="2" t="inlineStr">
        <is>
          <t>SMOOTHIE YOGRT MANGO PINEAPPLE</t>
        </is>
      </c>
      <c r="C44" s="2" t="n">
        <v>180</v>
      </c>
      <c r="D44" s="2" t="inlineStr">
        <is>
          <t>2026/03/20</t>
        </is>
      </c>
      <c r="E44" s="2" t="inlineStr">
        <is>
          <t>PO</t>
        </is>
      </c>
      <c r="F44" s="2" t="inlineStr">
        <is>
          <t>NC has enough on hand + on order (excl. this PO) to cover open sales</t>
        </is>
      </c>
    </row>
    <row r="45">
      <c r="A45" s="2" t="inlineStr">
        <is>
          <t>144902</t>
        </is>
      </c>
      <c r="B45" s="2" t="inlineStr">
        <is>
          <t>HOT DOGS 6" 8/1 BEEF FRANK</t>
        </is>
      </c>
      <c r="C45" s="2" t="n">
        <v>99</v>
      </c>
      <c r="D45" s="2" t="inlineStr">
        <is>
          <t>2026/03/13</t>
        </is>
      </c>
      <c r="E45" s="2" t="inlineStr">
        <is>
          <t>PO</t>
        </is>
      </c>
      <c r="F45" s="2" t="inlineStr">
        <is>
          <t>CIC surplus of 96 can cover NC shortfall of 10</t>
        </is>
      </c>
    </row>
    <row r="46">
      <c r="A46" s="2" t="inlineStr">
        <is>
          <t>149391</t>
        </is>
      </c>
      <c r="B46" s="2" t="inlineStr">
        <is>
          <t>BREAD COCOA SLICE</t>
        </is>
      </c>
      <c r="C46" s="2" t="n">
        <v>42</v>
      </c>
      <c r="D46" s="2" t="inlineStr">
        <is>
          <t>2026/03/24</t>
        </is>
      </c>
      <c r="E46" s="2" t="inlineStr">
        <is>
          <t>PO</t>
        </is>
      </c>
      <c r="F46" s="2" t="inlineStr">
        <is>
          <t>NC has enough on hand + on order (excl. this PO) to cover open sales</t>
        </is>
      </c>
    </row>
    <row r="47">
      <c r="A47" s="2" t="inlineStr">
        <is>
          <t>149516</t>
        </is>
      </c>
      <c r="B47" s="2" t="inlineStr">
        <is>
          <t>BROCCOLI FLORET IQF</t>
        </is>
      </c>
      <c r="C47" s="2" t="n">
        <v>8</v>
      </c>
      <c r="D47" s="2" t="inlineStr">
        <is>
          <t>2026/03/10</t>
        </is>
      </c>
      <c r="E47" s="2" t="inlineStr">
        <is>
          <t>Transfer Order</t>
        </is>
      </c>
      <c r="F47" s="2" t="inlineStr">
        <is>
          <t>CIC surplus of 110 can cover NC shortfall of 10</t>
        </is>
      </c>
    </row>
    <row r="48">
      <c r="A48" s="2" t="inlineStr">
        <is>
          <t>149528</t>
        </is>
      </c>
      <c r="B48" s="2" t="inlineStr">
        <is>
          <t>TATER GEMS POTATOES</t>
        </is>
      </c>
      <c r="C48" s="2" t="n">
        <v>189</v>
      </c>
      <c r="D48" s="2" t="inlineStr">
        <is>
          <t>2026/03/13</t>
        </is>
      </c>
      <c r="E48" s="2" t="inlineStr">
        <is>
          <t>PO</t>
        </is>
      </c>
      <c r="F48" s="2" t="inlineStr">
        <is>
          <t>NC has enough on hand + on order (excl. this PO) to cover open sales</t>
        </is>
      </c>
    </row>
    <row r="49">
      <c r="A49" s="2" t="inlineStr">
        <is>
          <t>149531</t>
        </is>
      </c>
      <c r="B49" s="2" t="inlineStr">
        <is>
          <t>SEASONED SAVORY WEDGE 10-CUT</t>
        </is>
      </c>
      <c r="C49" s="2" t="n">
        <v>162</v>
      </c>
      <c r="D49" s="2" t="inlineStr">
        <is>
          <t>2026/03/13</t>
        </is>
      </c>
      <c r="E49" s="2" t="inlineStr">
        <is>
          <t>PO</t>
        </is>
      </c>
      <c r="F49" s="2" t="inlineStr">
        <is>
          <t>NC has enough on hand + on order (excl. this PO) to cover open sales</t>
        </is>
      </c>
    </row>
    <row r="50">
      <c r="A50" s="2" t="inlineStr">
        <is>
          <t>149613</t>
        </is>
      </c>
      <c r="B50" s="2" t="inlineStr">
        <is>
          <t>KICKIN TENDERS</t>
        </is>
      </c>
      <c r="C50" s="2" t="n">
        <v>238</v>
      </c>
      <c r="D50" s="2" t="inlineStr">
        <is>
          <t>2026/03/15</t>
        </is>
      </c>
      <c r="E50" s="2" t="inlineStr">
        <is>
          <t>PO</t>
        </is>
      </c>
      <c r="F50" s="2" t="inlineStr">
        <is>
          <t>NC has enough on hand + on order (excl. this PO) to cover open sales</t>
        </is>
      </c>
    </row>
    <row r="51">
      <c r="A51" s="2" t="inlineStr">
        <is>
          <t>149680</t>
        </is>
      </c>
      <c r="B51" s="2" t="inlineStr">
        <is>
          <t>SMOOTHIE YOGURT MANGO PINAPPLE</t>
        </is>
      </c>
      <c r="C51" s="2" t="n">
        <v>144</v>
      </c>
      <c r="D51" s="2" t="inlineStr">
        <is>
          <t>2026/03/20</t>
        </is>
      </c>
      <c r="E51" s="2" t="inlineStr">
        <is>
          <t>PO</t>
        </is>
      </c>
      <c r="F51" s="2" t="inlineStr">
        <is>
          <t>NC has enough on hand + on order (excl. this PO) to cover open sales</t>
        </is>
      </c>
    </row>
    <row r="52">
      <c r="A52" s="2" t="inlineStr">
        <is>
          <t>149681</t>
        </is>
      </c>
      <c r="B52" s="2" t="inlineStr">
        <is>
          <t>SMOOTHIE YOGURT STRAW BANANA</t>
        </is>
      </c>
      <c r="C52" s="2" t="n">
        <v>144</v>
      </c>
      <c r="D52" s="2" t="inlineStr">
        <is>
          <t>2026/03/20</t>
        </is>
      </c>
      <c r="E52" s="2" t="inlineStr">
        <is>
          <t>PO</t>
        </is>
      </c>
      <c r="F52" s="2" t="inlineStr">
        <is>
          <t>CIC surplus of 120 can cover NC shortfall of 104</t>
        </is>
      </c>
    </row>
    <row r="53">
      <c r="A53" s="2" t="inlineStr">
        <is>
          <t>149718</t>
        </is>
      </c>
      <c r="B53" s="2" t="inlineStr">
        <is>
          <t>PITA WG</t>
        </is>
      </c>
      <c r="C53" s="2" t="n">
        <v>48</v>
      </c>
      <c r="D53" s="2" t="inlineStr">
        <is>
          <t>2026/03/06</t>
        </is>
      </c>
      <c r="E53" s="2" t="inlineStr">
        <is>
          <t>PO</t>
        </is>
      </c>
      <c r="F53" s="2" t="inlineStr">
        <is>
          <t>CIC surplus of 102 can cover NC shortfall of 34</t>
        </is>
      </c>
    </row>
    <row r="54">
      <c r="A54" s="2" t="inlineStr">
        <is>
          <t>154276</t>
        </is>
      </c>
      <c r="B54" s="2" t="inlineStr">
        <is>
          <t>SUN UP BLEND</t>
        </is>
      </c>
      <c r="C54" s="2" t="n">
        <v>4</v>
      </c>
      <c r="D54" s="2" t="inlineStr">
        <is>
          <t>2026/03/13</t>
        </is>
      </c>
      <c r="E54" s="2" t="inlineStr">
        <is>
          <t>PO</t>
        </is>
      </c>
      <c r="F54" s="2" t="inlineStr">
        <is>
          <t>CIC surplus of 628 can cover NC shortfall of 11</t>
        </is>
      </c>
    </row>
    <row r="55">
      <c r="A55" s="2" t="inlineStr">
        <is>
          <t>154281</t>
        </is>
      </c>
      <c r="B55" s="2" t="inlineStr">
        <is>
          <t>SANDWICH STRAWBERRY SUNBUTTER</t>
        </is>
      </c>
      <c r="C55" s="2" t="n">
        <v>70</v>
      </c>
      <c r="D55" s="2" t="inlineStr">
        <is>
          <t>2026/03/13</t>
        </is>
      </c>
      <c r="E55" s="2" t="inlineStr">
        <is>
          <t>Transfer Order</t>
        </is>
      </c>
      <c r="F55" s="2" t="inlineStr">
        <is>
          <t>NC has enough on hand + on order (excl. this PO) to cover open sales</t>
        </is>
      </c>
    </row>
    <row r="56">
      <c r="A56" s="2" t="inlineStr">
        <is>
          <t>154284</t>
        </is>
      </c>
      <c r="B56" s="2" t="inlineStr">
        <is>
          <t>DONUT MINI CHOC GLAZED CUP</t>
        </is>
      </c>
      <c r="C56" s="2" t="n">
        <v>27</v>
      </c>
      <c r="D56" s="2" t="inlineStr">
        <is>
          <t>2026/03/20</t>
        </is>
      </c>
      <c r="E56" s="2" t="inlineStr">
        <is>
          <t>PO</t>
        </is>
      </c>
      <c r="F56" s="2" t="inlineStr">
        <is>
          <t>NC has enough on hand + on order (excl. this PO) to cover open sales</t>
        </is>
      </c>
    </row>
    <row r="57">
      <c r="A57" s="2" t="inlineStr">
        <is>
          <t>158621</t>
        </is>
      </c>
      <c r="B57" s="2" t="inlineStr">
        <is>
          <t>TORTILLA FLOUR WWW 10"</t>
        </is>
      </c>
      <c r="C57" s="2" t="n">
        <v>96</v>
      </c>
      <c r="D57" s="2" t="inlineStr">
        <is>
          <t>2026/03/11</t>
        </is>
      </c>
      <c r="E57" s="2" t="inlineStr">
        <is>
          <t>PO</t>
        </is>
      </c>
      <c r="F57" s="2" t="inlineStr">
        <is>
          <t>NC has enough on hand + on order (excl. this PO) to cover open sales</t>
        </is>
      </c>
    </row>
    <row r="58">
      <c r="A58" s="2" t="inlineStr">
        <is>
          <t>159041</t>
        </is>
      </c>
      <c r="B58" s="2" t="inlineStr">
        <is>
          <t>JUICE ORANGE 100% PAPER CARTON</t>
        </is>
      </c>
      <c r="C58" s="2" t="n">
        <v>80</v>
      </c>
      <c r="D58" s="2" t="inlineStr">
        <is>
          <t>2026/03/11</t>
        </is>
      </c>
      <c r="E58" s="2" t="inlineStr">
        <is>
          <t>Transfer Order</t>
        </is>
      </c>
      <c r="F58" s="2" t="inlineStr">
        <is>
          <t>CIC surplus of 240 can cover NC shortfall of 86</t>
        </is>
      </c>
    </row>
    <row r="59">
      <c r="A59" s="2" t="inlineStr">
        <is>
          <t>200970</t>
        </is>
      </c>
      <c r="B59" s="2" t="inlineStr">
        <is>
          <t>MEDIUM WEIGHT WHITE FORK</t>
        </is>
      </c>
      <c r="C59" s="2" t="n">
        <v>17</v>
      </c>
      <c r="D59" s="2" t="inlineStr">
        <is>
          <t>2026/03/12</t>
        </is>
      </c>
      <c r="E59" s="2" t="inlineStr">
        <is>
          <t>Transfer Order</t>
        </is>
      </c>
      <c r="F59" s="2" t="inlineStr">
        <is>
          <t>NC has enough on hand + on order (excl. this PO) to cover open sales</t>
        </is>
      </c>
    </row>
    <row r="60">
      <c r="A60" s="2" t="inlineStr">
        <is>
          <t>201910</t>
        </is>
      </c>
      <c r="B60" s="2" t="inlineStr">
        <is>
          <t>TACO SAUCE PACKETS IW</t>
        </is>
      </c>
      <c r="C60" s="2" t="n">
        <v>40</v>
      </c>
      <c r="D60" s="2" t="inlineStr">
        <is>
          <t>2026/03/12</t>
        </is>
      </c>
      <c r="E60" s="2" t="inlineStr">
        <is>
          <t>PO</t>
        </is>
      </c>
      <c r="F60" s="2" t="inlineStr">
        <is>
          <t>NC has enough on hand + on order (excl. this PO) to cover open sales</t>
        </is>
      </c>
    </row>
    <row r="61">
      <c r="A61" s="2" t="inlineStr">
        <is>
          <t>209909</t>
        </is>
      </c>
      <c r="B61" s="2" t="inlineStr">
        <is>
          <t>WATER WITH SPORTSCAP</t>
        </is>
      </c>
      <c r="C61" s="2" t="n">
        <v>90</v>
      </c>
      <c r="D61" s="2" t="inlineStr">
        <is>
          <t>2026/03/12</t>
        </is>
      </c>
      <c r="E61" s="2" t="inlineStr">
        <is>
          <t>PO</t>
        </is>
      </c>
      <c r="F61" s="2" t="inlineStr">
        <is>
          <t>NC has enough on hand + on order (excl. this PO) to cover open sales</t>
        </is>
      </c>
    </row>
    <row r="62">
      <c r="A62" s="2" t="inlineStr">
        <is>
          <t>248713</t>
        </is>
      </c>
      <c r="B62" s="2" t="inlineStr">
        <is>
          <t>WATER SPRING</t>
        </is>
      </c>
      <c r="C62" s="2" t="n">
        <v>1026</v>
      </c>
      <c r="D62" s="2" t="inlineStr">
        <is>
          <t>2026/03/14</t>
        </is>
      </c>
      <c r="E62" s="2" t="inlineStr">
        <is>
          <t>PO</t>
        </is>
      </c>
      <c r="F62" s="2" t="inlineStr">
        <is>
          <t>NC has enough on hand + on order (excl. this PO) to cover open sales</t>
        </is>
      </c>
    </row>
    <row r="63">
      <c r="A63" s="2" t="inlineStr">
        <is>
          <t>260021</t>
        </is>
      </c>
      <c r="B63" s="2" t="inlineStr">
        <is>
          <t>LID PAPER 2 OZ - 4 OZ KRAFT</t>
        </is>
      </c>
      <c r="C63" s="2" t="n">
        <v>4</v>
      </c>
      <c r="D63" s="2" t="inlineStr">
        <is>
          <t>2026/03/06</t>
        </is>
      </c>
      <c r="E63" s="2" t="inlineStr">
        <is>
          <t>PO</t>
        </is>
      </c>
      <c r="F63" s="2" t="inlineStr">
        <is>
          <t>CIC surplus of 9 can cover NC shortfall of 4</t>
        </is>
      </c>
    </row>
    <row r="64">
      <c r="A64" s="2" t="inlineStr">
        <is>
          <t>260178</t>
        </is>
      </c>
      <c r="B64" s="2" t="inlineStr">
        <is>
          <t>ONION CHOPPED DEHYDRATED</t>
        </is>
      </c>
      <c r="C64" s="2" t="n">
        <v>1</v>
      </c>
      <c r="D64" s="2" t="inlineStr">
        <is>
          <t>2026/03/11</t>
        </is>
      </c>
      <c r="E64" s="2" t="inlineStr">
        <is>
          <t>PO</t>
        </is>
      </c>
      <c r="F64" s="2" t="inlineStr">
        <is>
          <t>CIC surplus of 6 can cover NC shortfall of 2</t>
        </is>
      </c>
    </row>
    <row r="65">
      <c r="A65" s="2" t="inlineStr">
        <is>
          <t>400048</t>
        </is>
      </c>
      <c r="B65" s="2" t="inlineStr">
        <is>
          <t>BURGER STEAK PUB</t>
        </is>
      </c>
      <c r="C65" s="2" t="n">
        <v>105</v>
      </c>
      <c r="D65" s="2" t="inlineStr">
        <is>
          <t>2026/03/11</t>
        </is>
      </c>
      <c r="E65" s="2" t="inlineStr">
        <is>
          <t>PO</t>
        </is>
      </c>
      <c r="F65" s="2" t="inlineStr">
        <is>
          <t>NC has enough on hand + on order (excl. this PO) to cover open sales</t>
        </is>
      </c>
    </row>
    <row r="66">
      <c r="A66" s="2" t="inlineStr">
        <is>
          <t>400862</t>
        </is>
      </c>
      <c r="B66" s="2" t="inlineStr">
        <is>
          <t>CHICKEN FC DICED</t>
        </is>
      </c>
      <c r="C66" s="2" t="n">
        <v>112</v>
      </c>
      <c r="D66" s="2" t="inlineStr">
        <is>
          <t>2026/03/08</t>
        </is>
      </c>
      <c r="E66" s="2" t="inlineStr">
        <is>
          <t>PO</t>
        </is>
      </c>
      <c r="F66" s="2" t="inlineStr">
        <is>
          <t>CIC surplus of 168 can cover NC shortfall of 45</t>
        </is>
      </c>
    </row>
    <row r="67">
      <c r="A67" s="2" t="inlineStr">
        <is>
          <t>401228</t>
        </is>
      </c>
      <c r="B67" s="2" t="inlineStr">
        <is>
          <t>FRIES CRINKLE CUT 3/8"</t>
        </is>
      </c>
      <c r="C67" s="2" t="n">
        <v>70</v>
      </c>
      <c r="D67" s="2" t="inlineStr">
        <is>
          <t>2026/03/12</t>
        </is>
      </c>
      <c r="E67" s="2" t="inlineStr">
        <is>
          <t>PO</t>
        </is>
      </c>
      <c r="F67" s="2" t="inlineStr">
        <is>
          <t>NC has enough on hand + on order (excl. this PO) to cover open sales</t>
        </is>
      </c>
    </row>
    <row r="68">
      <c r="A68" s="2" t="inlineStr">
        <is>
          <t>401410</t>
        </is>
      </c>
      <c r="B68" s="2" t="inlineStr">
        <is>
          <t>STEAK BEEF FLAMEBROILED C&amp;F</t>
        </is>
      </c>
      <c r="C68" s="2" t="n">
        <v>420</v>
      </c>
      <c r="D68" s="2" t="inlineStr">
        <is>
          <t>2026/03/11</t>
        </is>
      </c>
      <c r="E68" s="2" t="inlineStr">
        <is>
          <t>PO</t>
        </is>
      </c>
      <c r="F68" s="2" t="inlineStr">
        <is>
          <t>CIC surplus of 385 can cover NC shortfall of 206</t>
        </is>
      </c>
    </row>
    <row r="69">
      <c r="A69" s="2" t="inlineStr">
        <is>
          <t>401972</t>
        </is>
      </c>
      <c r="B69" s="2" t="inlineStr">
        <is>
          <t>SUNFLWER BUTTER &amp; GRP JLY SNDW</t>
        </is>
      </c>
      <c r="C69" s="2" t="n">
        <v>60</v>
      </c>
      <c r="D69" s="2" t="inlineStr">
        <is>
          <t>2026/03/06</t>
        </is>
      </c>
      <c r="E69" s="2" t="inlineStr">
        <is>
          <t>PO</t>
        </is>
      </c>
      <c r="F69" s="2" t="inlineStr">
        <is>
          <t>NC has enough on hand + on order (excl. this PO) to cover open sales</t>
        </is>
      </c>
    </row>
    <row r="70">
      <c r="A70" s="2" t="inlineStr">
        <is>
          <t>403441</t>
        </is>
      </c>
      <c r="B70" s="2" t="inlineStr">
        <is>
          <t>MEATBALL CHICKEN FC</t>
        </is>
      </c>
      <c r="C70" s="2" t="n">
        <v>11</v>
      </c>
      <c r="D70" s="2" t="inlineStr">
        <is>
          <t>2026/03/10</t>
        </is>
      </c>
      <c r="E70" s="2" t="inlineStr">
        <is>
          <t>PO</t>
        </is>
      </c>
      <c r="F70" s="2" t="inlineStr">
        <is>
          <t>CIC surplus of 110 can cover NC shortfall of 57</t>
        </is>
      </c>
    </row>
    <row r="71">
      <c r="A71" s="2" t="inlineStr">
        <is>
          <t>403720</t>
        </is>
      </c>
      <c r="B71" s="2" t="inlineStr">
        <is>
          <t>PIZZA FRNCH BRD CHS WG BULK</t>
        </is>
      </c>
      <c r="C71" s="2" t="n">
        <v>112</v>
      </c>
      <c r="D71" s="2" t="inlineStr">
        <is>
          <t>2026/03/09</t>
        </is>
      </c>
      <c r="E71" s="2" t="inlineStr">
        <is>
          <t>PO</t>
        </is>
      </c>
      <c r="F71" s="2" t="inlineStr">
        <is>
          <t>NC has enough on hand + on order (excl. this PO) to cover open sales</t>
        </is>
      </c>
    </row>
    <row r="72">
      <c r="A72" s="2" t="inlineStr">
        <is>
          <t>403855</t>
        </is>
      </c>
      <c r="B72" s="2" t="inlineStr">
        <is>
          <t>CHICKEN BREADED SMACKERS WG</t>
        </is>
      </c>
      <c r="C72" s="2" t="n">
        <v>144</v>
      </c>
      <c r="D72" s="2" t="inlineStr">
        <is>
          <t>2026/03/08</t>
        </is>
      </c>
      <c r="E72" s="2" t="inlineStr">
        <is>
          <t>PO</t>
        </is>
      </c>
      <c r="F72" s="2" t="inlineStr">
        <is>
          <t>NC has enough on hand + on order (excl. this PO) to cover open sales</t>
        </is>
      </c>
    </row>
    <row r="73">
      <c r="A73" s="2" t="inlineStr">
        <is>
          <t>403859</t>
        </is>
      </c>
      <c r="B73" s="2" t="inlineStr">
        <is>
          <t>LUNCH KIT CHEESE PIZZA WG</t>
        </is>
      </c>
      <c r="C73" s="2" t="n">
        <v>216</v>
      </c>
      <c r="D73" s="2" t="inlineStr">
        <is>
          <t>2026/03/14</t>
        </is>
      </c>
      <c r="E73" s="2" t="inlineStr">
        <is>
          <t>PO</t>
        </is>
      </c>
      <c r="F73" s="2" t="inlineStr">
        <is>
          <t>NC has enough on hand + on order (excl. this PO) to cover open sales</t>
        </is>
      </c>
    </row>
    <row r="74">
      <c r="A74" s="2" t="inlineStr">
        <is>
          <t>403860</t>
        </is>
      </c>
      <c r="B74" s="2" t="inlineStr">
        <is>
          <t>LUNCH KIT TKY HAM &amp; CHEESE</t>
        </is>
      </c>
      <c r="C74" s="2" t="n">
        <v>108</v>
      </c>
      <c r="D74" s="2" t="inlineStr">
        <is>
          <t>2026/03/22</t>
        </is>
      </c>
      <c r="E74" s="2" t="inlineStr">
        <is>
          <t>PO</t>
        </is>
      </c>
      <c r="F74" s="2" t="inlineStr">
        <is>
          <t>CIC surplus of 216 can cover NC shortfall of 28</t>
        </is>
      </c>
    </row>
    <row r="75">
      <c r="A75" s="2" t="inlineStr">
        <is>
          <t>403909</t>
        </is>
      </c>
      <c r="B75" s="2" t="inlineStr">
        <is>
          <t>PIZZA 16" 10-CUT CHEESE WG</t>
        </is>
      </c>
      <c r="C75" s="2" t="n">
        <v>96</v>
      </c>
      <c r="D75" s="2" t="inlineStr">
        <is>
          <t>2026/03/13</t>
        </is>
      </c>
      <c r="E75" s="2" t="inlineStr">
        <is>
          <t>PO</t>
        </is>
      </c>
      <c r="F75" s="2" t="inlineStr">
        <is>
          <t>NC has enough on hand + on order (excl. this PO) to cover open sales</t>
        </is>
      </c>
    </row>
    <row r="76">
      <c r="A76" s="2" t="inlineStr">
        <is>
          <t>403931</t>
        </is>
      </c>
      <c r="B76" s="2" t="inlineStr">
        <is>
          <t>TST FRENCH CINN GLZD STX WG CF</t>
        </is>
      </c>
      <c r="C76" s="2" t="n">
        <v>24</v>
      </c>
      <c r="D76" s="2" t="inlineStr">
        <is>
          <t>2026/03/18</t>
        </is>
      </c>
      <c r="E76" s="2" t="inlineStr">
        <is>
          <t>PO</t>
        </is>
      </c>
      <c r="F76" s="2" t="inlineStr">
        <is>
          <t>NC has enough on hand + on order (excl. this PO) to cover open sales</t>
        </is>
      </c>
    </row>
    <row r="77">
      <c r="A77" s="2" t="inlineStr">
        <is>
          <t>404035</t>
        </is>
      </c>
      <c r="B77" s="2" t="inlineStr">
        <is>
          <t>SND UNCRUSTABLE PB STRAW WG IW</t>
        </is>
      </c>
      <c r="C77" s="2" t="n">
        <v>486</v>
      </c>
      <c r="D77" s="2" t="inlineStr">
        <is>
          <t>2026/03/06</t>
        </is>
      </c>
      <c r="E77" s="2" t="inlineStr">
        <is>
          <t>PO</t>
        </is>
      </c>
      <c r="F77" s="2" t="inlineStr">
        <is>
          <t>CIC surplus of 162 can cover NC shortfall of 8</t>
        </is>
      </c>
    </row>
    <row r="78">
      <c r="A78" s="2" t="inlineStr">
        <is>
          <t>404614</t>
        </is>
      </c>
      <c r="B78" s="2" t="inlineStr">
        <is>
          <t>SND UNCRUSTABLE PB GRAPE WG IW</t>
        </is>
      </c>
      <c r="C78" s="2" t="n">
        <v>150</v>
      </c>
      <c r="D78" s="2" t="inlineStr">
        <is>
          <t>2026/03/06</t>
        </is>
      </c>
      <c r="E78" s="2" t="inlineStr">
        <is>
          <t>PO</t>
        </is>
      </c>
      <c r="F78" s="2" t="inlineStr">
        <is>
          <t>NC has enough on hand + on order (excl. this PO) to cover open sales</t>
        </is>
      </c>
    </row>
    <row r="79">
      <c r="A79" s="2" t="inlineStr">
        <is>
          <t>404615</t>
        </is>
      </c>
      <c r="B79" s="2" t="inlineStr">
        <is>
          <t>SND UNCRUSTABLE PB STRAW WG IW</t>
        </is>
      </c>
      <c r="C79" s="2" t="n">
        <v>400</v>
      </c>
      <c r="D79" s="2" t="inlineStr">
        <is>
          <t>2026/03/06</t>
        </is>
      </c>
      <c r="E79" s="2" t="inlineStr">
        <is>
          <t>PO</t>
        </is>
      </c>
      <c r="F79" s="2" t="inlineStr">
        <is>
          <t>NC has enough on hand + on order (excl. this PO) to cover open sales</t>
        </is>
      </c>
    </row>
    <row r="80">
      <c r="A80" s="2" t="inlineStr">
        <is>
          <t>405331</t>
        </is>
      </c>
      <c r="B80" s="2" t="inlineStr">
        <is>
          <t>PRIMO 16" WG PRE-SL4 CHS PIZZA</t>
        </is>
      </c>
      <c r="C80" s="2" t="n">
        <v>96</v>
      </c>
      <c r="D80" s="2" t="inlineStr">
        <is>
          <t>2026/03/12</t>
        </is>
      </c>
      <c r="E80" s="2" t="inlineStr">
        <is>
          <t>PO</t>
        </is>
      </c>
      <c r="F80" s="2" t="inlineStr">
        <is>
          <t>NC has enough on hand + on order (excl. this PO) to cover open sales</t>
        </is>
      </c>
    </row>
    <row r="81">
      <c r="A81" s="2" t="inlineStr">
        <is>
          <t>405407</t>
        </is>
      </c>
      <c r="B81" s="2" t="inlineStr">
        <is>
          <t>PRIMO 16" WG PEPR PIZZA PRE-SL</t>
        </is>
      </c>
      <c r="C81" s="2" t="n">
        <v>144</v>
      </c>
      <c r="D81" s="2" t="inlineStr">
        <is>
          <t>2026/03/12</t>
        </is>
      </c>
      <c r="E81" s="2" t="inlineStr">
        <is>
          <t>PO</t>
        </is>
      </c>
      <c r="F81" s="2" t="inlineStr">
        <is>
          <t>NC has enough on hand + on order (excl. this PO) to cover open sales</t>
        </is>
      </c>
    </row>
    <row r="82">
      <c r="A82" s="2" t="inlineStr">
        <is>
          <t>405422</t>
        </is>
      </c>
      <c r="B82" s="2" t="inlineStr">
        <is>
          <t>CHIC DRUMSTICK GLAZED</t>
        </is>
      </c>
      <c r="C82" s="2" t="n">
        <v>240</v>
      </c>
      <c r="D82" s="2" t="inlineStr">
        <is>
          <t>2026/03/10</t>
        </is>
      </c>
      <c r="E82" s="2" t="inlineStr">
        <is>
          <t>PO</t>
        </is>
      </c>
      <c r="F82" s="2" t="inlineStr">
        <is>
          <t>NC has enough on hand + on order (excl. this PO) to cover open sales</t>
        </is>
      </c>
    </row>
    <row r="83">
      <c r="A83" s="2" t="inlineStr">
        <is>
          <t>405590</t>
        </is>
      </c>
      <c r="B83" s="2" t="inlineStr">
        <is>
          <t>TRKY HAM CHS CROISSANT WG IW</t>
        </is>
      </c>
      <c r="C83" s="2" t="n">
        <v>120</v>
      </c>
      <c r="D83" s="2" t="inlineStr">
        <is>
          <t>2026/03/11</t>
        </is>
      </c>
      <c r="E83" s="2" t="inlineStr">
        <is>
          <t>PO</t>
        </is>
      </c>
      <c r="F83" s="2" t="inlineStr">
        <is>
          <t>NC has enough on hand + on order (excl. this PO) to cover open sales</t>
        </is>
      </c>
    </row>
    <row r="84">
      <c r="A84" s="2" t="inlineStr">
        <is>
          <t>405715</t>
        </is>
      </c>
      <c r="B84" s="2" t="inlineStr">
        <is>
          <t>EGG ROLL CHICKEN WG</t>
        </is>
      </c>
      <c r="C84" s="2" t="n">
        <v>9</v>
      </c>
      <c r="D84" s="2" t="inlineStr">
        <is>
          <t>2026/03/08</t>
        </is>
      </c>
      <c r="E84" s="2" t="inlineStr">
        <is>
          <t>PO</t>
        </is>
      </c>
      <c r="F84" s="2" t="inlineStr">
        <is>
          <t>NC has enough on hand + on order (excl. this PO) to cover open sales</t>
        </is>
      </c>
    </row>
    <row r="85">
      <c r="A85" s="2" t="inlineStr">
        <is>
          <t>405821</t>
        </is>
      </c>
      <c r="B85" s="2" t="inlineStr">
        <is>
          <t>PIZZA LARGE WHOLE 4-CHEESE</t>
        </is>
      </c>
      <c r="C85" s="2" t="n">
        <v>210</v>
      </c>
      <c r="D85" s="2" t="inlineStr">
        <is>
          <t>2026/03/20</t>
        </is>
      </c>
      <c r="E85" s="2" t="inlineStr">
        <is>
          <t>Transfer Order</t>
        </is>
      </c>
      <c r="F85" s="2" t="inlineStr">
        <is>
          <t>NC has enough on hand + on order (excl. this PO) to cover open sales</t>
        </is>
      </c>
    </row>
    <row r="86">
      <c r="A86" s="2" t="inlineStr">
        <is>
          <t>405842</t>
        </is>
      </c>
      <c r="B86" s="2" t="inlineStr">
        <is>
          <t>BURRITO BEAN CHEESE WG IW</t>
        </is>
      </c>
      <c r="C86" s="2" t="n">
        <v>288</v>
      </c>
      <c r="D86" s="2" t="inlineStr">
        <is>
          <t>2026/03/20</t>
        </is>
      </c>
      <c r="E86" s="2" t="inlineStr">
        <is>
          <t>PO</t>
        </is>
      </c>
      <c r="F86" s="2" t="inlineStr">
        <is>
          <t>NC has enough on hand + on order (excl. this PO) to cover open sales</t>
        </is>
      </c>
    </row>
    <row r="87">
      <c r="A87" s="2" t="inlineStr">
        <is>
          <t>405898</t>
        </is>
      </c>
      <c r="B87" s="2" t="inlineStr">
        <is>
          <t>COOKED MEATBALLS GF</t>
        </is>
      </c>
      <c r="C87" s="2" t="n">
        <v>64</v>
      </c>
      <c r="D87" s="2" t="inlineStr">
        <is>
          <t>2026/03/17</t>
        </is>
      </c>
      <c r="E87" s="2" t="inlineStr">
        <is>
          <t>PO</t>
        </is>
      </c>
      <c r="F87" s="2" t="inlineStr">
        <is>
          <t>CIC surplus of 28 can cover NC shortfall of 8</t>
        </is>
      </c>
    </row>
    <row r="88">
      <c r="A88" s="2" t="inlineStr">
        <is>
          <t>406172</t>
        </is>
      </c>
      <c r="B88" s="2" t="inlineStr">
        <is>
          <t>CHK TENDER HMSTY WG</t>
        </is>
      </c>
      <c r="C88" s="2" t="n">
        <v>12</v>
      </c>
      <c r="D88" s="2" t="inlineStr">
        <is>
          <t>2026/03/24</t>
        </is>
      </c>
      <c r="E88" s="2" t="inlineStr">
        <is>
          <t>PO</t>
        </is>
      </c>
      <c r="F88" s="2" t="inlineStr">
        <is>
          <t>CIC surplus of 360 can cover NC shortfall of 37</t>
        </is>
      </c>
    </row>
    <row r="89">
      <c r="A89" s="2" t="inlineStr">
        <is>
          <t>406252</t>
        </is>
      </c>
      <c r="B89" s="2" t="inlineStr">
        <is>
          <t>CMDY BF MAPLE SAUSAGE SANDWICH</t>
        </is>
      </c>
      <c r="C89" s="2" t="n">
        <v>1</v>
      </c>
      <c r="D89" s="2" t="inlineStr">
        <is>
          <t>2026/03/20</t>
        </is>
      </c>
      <c r="E89" s="2" t="inlineStr">
        <is>
          <t>Transfer Order</t>
        </is>
      </c>
      <c r="F89" s="2" t="inlineStr">
        <is>
          <t>CIC surplus of 120 can cover NC shortfall of 1</t>
        </is>
      </c>
    </row>
    <row r="90">
      <c r="A90" s="2" t="inlineStr">
        <is>
          <t>406323</t>
        </is>
      </c>
      <c r="B90" s="2" t="inlineStr">
        <is>
          <t>CHICKEN BREADED POPCORN FC WG</t>
        </is>
      </c>
      <c r="C90" s="2" t="n">
        <v>2</v>
      </c>
      <c r="D90" s="2" t="inlineStr">
        <is>
          <t>2026/03/20</t>
        </is>
      </c>
      <c r="E90" s="2" t="inlineStr">
        <is>
          <t>Transfer Order</t>
        </is>
      </c>
      <c r="F90" s="2" t="inlineStr">
        <is>
          <t>NC has enough on hand + on order (excl. this PO) to cover open sales</t>
        </is>
      </c>
    </row>
    <row r="91">
      <c r="A91" s="2" t="inlineStr">
        <is>
          <t>406459</t>
        </is>
      </c>
      <c r="B91" s="2" t="inlineStr">
        <is>
          <t>PASTA ALFREDO PENNE WG</t>
        </is>
      </c>
      <c r="C91" s="2" t="n">
        <v>140</v>
      </c>
      <c r="D91" s="2" t="inlineStr">
        <is>
          <t>2026/03/11</t>
        </is>
      </c>
      <c r="E91" s="2" t="inlineStr">
        <is>
          <t>PO</t>
        </is>
      </c>
      <c r="F91" s="2" t="inlineStr">
        <is>
          <t>NC has enough on hand + on order (excl. this PO) to cover open sales</t>
        </is>
      </c>
    </row>
    <row r="92">
      <c r="A92" s="2" t="inlineStr">
        <is>
          <t>406525</t>
        </is>
      </c>
      <c r="B92" s="2" t="inlineStr">
        <is>
          <t>CAKE CINN CRUMBLE IW WG</t>
        </is>
      </c>
      <c r="C92" s="2" t="n">
        <v>48</v>
      </c>
      <c r="D92" s="2" t="inlineStr">
        <is>
          <t>2026/03/13</t>
        </is>
      </c>
      <c r="E92" s="2" t="inlineStr">
        <is>
          <t>Transfer Order</t>
        </is>
      </c>
      <c r="F92" s="2" t="inlineStr">
        <is>
          <t>NC has enough on hand + on order (excl. this PO) to cover open sales</t>
        </is>
      </c>
    </row>
    <row r="93">
      <c r="A93" s="2" t="inlineStr">
        <is>
          <t>406533</t>
        </is>
      </c>
      <c r="B93" s="2" t="inlineStr">
        <is>
          <t>WRAP TRKY HAM CHEESE WG</t>
        </is>
      </c>
      <c r="C93" s="2" t="n">
        <v>1</v>
      </c>
      <c r="D93" s="2" t="inlineStr">
        <is>
          <t>2026/03/31</t>
        </is>
      </c>
      <c r="E93" s="2" t="inlineStr">
        <is>
          <t>PO</t>
        </is>
      </c>
      <c r="F93" s="2" t="inlineStr">
        <is>
          <t>CIC surplus of 214 can cover NC shortfall of 1</t>
        </is>
      </c>
    </row>
    <row r="94">
      <c r="A94" s="2" t="inlineStr">
        <is>
          <t>406536</t>
        </is>
      </c>
      <c r="B94" s="2" t="inlineStr">
        <is>
          <t>TAMALE CHIC &amp; CHS IN FOIL</t>
        </is>
      </c>
      <c r="C94" s="2" t="n">
        <v>240</v>
      </c>
      <c r="D94" s="2" t="inlineStr">
        <is>
          <t>2026/03/14</t>
        </is>
      </c>
      <c r="E94" s="2" t="inlineStr">
        <is>
          <t>PO</t>
        </is>
      </c>
      <c r="F94" s="2" t="inlineStr">
        <is>
          <t>NC has enough on hand + on order (excl. this PO) to cover open sales</t>
        </is>
      </c>
    </row>
    <row r="95">
      <c r="A95" s="2" t="inlineStr">
        <is>
          <t>406576</t>
        </is>
      </c>
      <c r="B95" s="2" t="inlineStr">
        <is>
          <t>MUFFIN BANANA WG IW</t>
        </is>
      </c>
      <c r="C95" s="2" t="n">
        <v>96</v>
      </c>
      <c r="D95" s="2" t="inlineStr">
        <is>
          <t>2026/03/13</t>
        </is>
      </c>
      <c r="E95" s="2" t="inlineStr">
        <is>
          <t>PO</t>
        </is>
      </c>
      <c r="F95" s="2" t="inlineStr">
        <is>
          <t>NC has enough on hand + on order (excl. this PO) to cover open sales</t>
        </is>
      </c>
    </row>
    <row r="96">
      <c r="A96" s="2" t="inlineStr">
        <is>
          <t>406577</t>
        </is>
      </c>
      <c r="B96" s="2" t="inlineStr">
        <is>
          <t>MUFFIN BLUEBERRY WG IW</t>
        </is>
      </c>
      <c r="C96" s="2" t="n">
        <v>48</v>
      </c>
      <c r="D96" s="2" t="inlineStr">
        <is>
          <t>2026/03/15</t>
        </is>
      </c>
      <c r="E96" s="2" t="inlineStr">
        <is>
          <t>PO</t>
        </is>
      </c>
      <c r="F96" s="2" t="inlineStr">
        <is>
          <t>NC has enough on hand + on order (excl. this PO) to cover open sales</t>
        </is>
      </c>
    </row>
    <row r="97">
      <c r="A97" s="2" t="inlineStr">
        <is>
          <t>406578</t>
        </is>
      </c>
      <c r="B97" s="2" t="inlineStr">
        <is>
          <t>MUFFIN DBL CHOC CHIP WG IW</t>
        </is>
      </c>
      <c r="C97" s="2" t="n">
        <v>96</v>
      </c>
      <c r="D97" s="2" t="inlineStr">
        <is>
          <t>2026/03/13</t>
        </is>
      </c>
      <c r="E97" s="2" t="inlineStr">
        <is>
          <t>PO</t>
        </is>
      </c>
      <c r="F97" s="2" t="inlineStr">
        <is>
          <t>NC has enough on hand + on order (excl. this PO) to cover open sales</t>
        </is>
      </c>
    </row>
    <row r="98">
      <c r="A98" s="2" t="inlineStr">
        <is>
          <t>406619</t>
        </is>
      </c>
      <c r="B98" s="2" t="inlineStr">
        <is>
          <t>BURRITO BRKFST BEAN CHEESE IW</t>
        </is>
      </c>
      <c r="C98" s="2" t="n">
        <v>35</v>
      </c>
      <c r="D98" s="2" t="inlineStr">
        <is>
          <t>2026/03/11</t>
        </is>
      </c>
      <c r="E98" s="2" t="inlineStr">
        <is>
          <t>Transfer Order</t>
        </is>
      </c>
      <c r="F98" s="2" t="inlineStr">
        <is>
          <t>NC has enough on hand + on order (excl. this PO) to cover open sales</t>
        </is>
      </c>
    </row>
    <row r="99">
      <c r="A99" s="2" t="inlineStr">
        <is>
          <t>406620</t>
        </is>
      </c>
      <c r="B99" s="2" t="inlineStr">
        <is>
          <t>BURRITO BEAN CHEESE WG IW</t>
        </is>
      </c>
      <c r="C99" s="2" t="n">
        <v>6</v>
      </c>
      <c r="D99" s="2" t="inlineStr">
        <is>
          <t>2026/03/10</t>
        </is>
      </c>
      <c r="E99" s="2" t="inlineStr">
        <is>
          <t>Transfer Order</t>
        </is>
      </c>
      <c r="F99" s="2" t="inlineStr">
        <is>
          <t>NC has enough on hand + on order (excl. this PO) to cover open sales</t>
        </is>
      </c>
    </row>
    <row r="100">
      <c r="A100" s="2" t="inlineStr">
        <is>
          <t>406636</t>
        </is>
      </c>
      <c r="B100" s="2" t="inlineStr">
        <is>
          <t>PIZZA 7" FB CHEESE WG IW</t>
        </is>
      </c>
      <c r="C100" s="2" t="n">
        <v>133</v>
      </c>
      <c r="D100" s="2" t="inlineStr">
        <is>
          <t>2026/03/13</t>
        </is>
      </c>
      <c r="E100" s="2" t="inlineStr">
        <is>
          <t>PO</t>
        </is>
      </c>
      <c r="F100" s="2" t="inlineStr">
        <is>
          <t>NC has enough on hand + on order (excl. this PO) to cover open sales</t>
        </is>
      </c>
    </row>
    <row r="101">
      <c r="A101" s="2" t="inlineStr">
        <is>
          <t>406707</t>
        </is>
      </c>
      <c r="B101" s="2" t="inlineStr">
        <is>
          <t>PIZZA WEDGE CHEESE IW</t>
        </is>
      </c>
      <c r="C101" s="2" t="n">
        <v>89</v>
      </c>
      <c r="D101" s="2" t="inlineStr">
        <is>
          <t>2026/03/06</t>
        </is>
      </c>
      <c r="E101" s="2" t="inlineStr">
        <is>
          <t>PO</t>
        </is>
      </c>
      <c r="F101" s="2" t="inlineStr">
        <is>
          <t>CIC surplus of 190 can cover NC shortfall of 89</t>
        </is>
      </c>
    </row>
    <row r="102">
      <c r="A102" s="2" t="inlineStr">
        <is>
          <t>406785</t>
        </is>
      </c>
      <c r="B102" s="2" t="inlineStr">
        <is>
          <t>SANDWICH SUNBUTTER GRAPE</t>
        </is>
      </c>
      <c r="C102" s="2" t="n">
        <v>70</v>
      </c>
      <c r="D102" s="2" t="inlineStr">
        <is>
          <t>2026/03/13</t>
        </is>
      </c>
      <c r="E102" s="2" t="inlineStr">
        <is>
          <t>Transfer Order</t>
        </is>
      </c>
      <c r="F102" s="2" t="inlineStr">
        <is>
          <t>NC has enough on hand + on order (excl. this PO) to cover open sales</t>
        </is>
      </c>
    </row>
    <row r="103">
      <c r="A103" s="2" t="inlineStr">
        <is>
          <t>406899</t>
        </is>
      </c>
      <c r="B103" s="2" t="inlineStr">
        <is>
          <t>CHEESE CHEDDAR CUP</t>
        </is>
      </c>
      <c r="C103" s="2" t="n">
        <v>1</v>
      </c>
      <c r="D103" s="2" t="inlineStr">
        <is>
          <t>2026/03/06</t>
        </is>
      </c>
      <c r="E103" s="2" t="inlineStr">
        <is>
          <t>PO</t>
        </is>
      </c>
      <c r="F103" s="2" t="inlineStr">
        <is>
          <t>CIC surplus of 95 can cover NC shortfall of 1</t>
        </is>
      </c>
    </row>
    <row r="104">
      <c r="A104" s="2" t="inlineStr">
        <is>
          <t>406934</t>
        </is>
      </c>
      <c r="B104" s="2" t="inlineStr">
        <is>
          <t>MEATBALL CHIC JAL MNGO</t>
        </is>
      </c>
      <c r="C104" s="2" t="n">
        <v>66</v>
      </c>
      <c r="D104" s="2" t="inlineStr">
        <is>
          <t>2026/03/13</t>
        </is>
      </c>
      <c r="E104" s="2" t="inlineStr">
        <is>
          <t>PO</t>
        </is>
      </c>
      <c r="F104" s="2" t="inlineStr">
        <is>
          <t>NC has enough on hand + on order (excl. this PO) to cover open sales</t>
        </is>
      </c>
    </row>
    <row r="105">
      <c r="A105" s="2" t="inlineStr">
        <is>
          <t>409696</t>
        </is>
      </c>
      <c r="B105" s="2" t="inlineStr">
        <is>
          <t>SAUCE BBQ CUP</t>
        </is>
      </c>
      <c r="C105" s="2" t="n">
        <v>208</v>
      </c>
      <c r="D105" s="2" t="inlineStr">
        <is>
          <t>2026/03/12</t>
        </is>
      </c>
      <c r="E105" s="2" t="inlineStr">
        <is>
          <t>PO</t>
        </is>
      </c>
      <c r="F105" s="2" t="inlineStr">
        <is>
          <t>NC has enough on hand + on order (excl. this PO) to cover open sales</t>
        </is>
      </c>
    </row>
    <row r="106">
      <c r="A106" s="2" t="inlineStr">
        <is>
          <t>409921</t>
        </is>
      </c>
      <c r="B106" s="2" t="inlineStr">
        <is>
          <t>BREADSTICK TWISTED TOP MOZ</t>
        </is>
      </c>
      <c r="C106" s="2" t="n">
        <v>21</v>
      </c>
      <c r="D106" s="2" t="inlineStr">
        <is>
          <t>2026/03/06</t>
        </is>
      </c>
      <c r="E106" s="2" t="inlineStr">
        <is>
          <t>PO</t>
        </is>
      </c>
      <c r="F106" s="2" t="inlineStr">
        <is>
          <t>CIC surplus of 84 can cover NC shortfall of 56</t>
        </is>
      </c>
    </row>
    <row r="107">
      <c r="A107" s="2" t="inlineStr">
        <is>
          <t>409960</t>
        </is>
      </c>
      <c r="B107" s="2" t="inlineStr">
        <is>
          <t>EMPANADA ENCHILADA IW</t>
        </is>
      </c>
      <c r="C107" s="2" t="n">
        <v>40</v>
      </c>
      <c r="D107" s="2" t="inlineStr">
        <is>
          <t>2026/03/10</t>
        </is>
      </c>
      <c r="E107" s="2" t="inlineStr">
        <is>
          <t>Transfer Order</t>
        </is>
      </c>
      <c r="F107" s="2" t="inlineStr">
        <is>
          <t>NC has enough on hand + on order (excl. this PO) to cover open sales</t>
        </is>
      </c>
    </row>
    <row r="108">
      <c r="A108" s="2" t="inlineStr">
        <is>
          <t>410050</t>
        </is>
      </c>
      <c r="B108" s="2" t="inlineStr">
        <is>
          <t>CHICKEN CHUNKS BRD FC WG</t>
        </is>
      </c>
      <c r="C108" s="2" t="n">
        <v>80</v>
      </c>
      <c r="D108" s="2" t="inlineStr">
        <is>
          <t>2026/03/10</t>
        </is>
      </c>
      <c r="E108" s="2" t="inlineStr">
        <is>
          <t>PO</t>
        </is>
      </c>
      <c r="F108" s="2" t="inlineStr">
        <is>
          <t>NC has enough on hand + on order (excl. this PO) to cover open sales</t>
        </is>
      </c>
    </row>
    <row r="109">
      <c r="A109" s="2" t="inlineStr">
        <is>
          <t>410084</t>
        </is>
      </c>
      <c r="B109" s="2" t="inlineStr">
        <is>
          <t>CALZONE TURKEY SAUS EGG CHS IW</t>
        </is>
      </c>
      <c r="C109" s="2" t="n">
        <v>8</v>
      </c>
      <c r="D109" s="2" t="inlineStr">
        <is>
          <t>2026/03/19</t>
        </is>
      </c>
      <c r="E109" s="2" t="inlineStr">
        <is>
          <t>Transfer Order</t>
        </is>
      </c>
      <c r="F109" s="2" t="inlineStr">
        <is>
          <t>NC has enough on hand + on order (excl. this PO) to cover open sales</t>
        </is>
      </c>
    </row>
    <row r="110">
      <c r="A110" s="2" t="inlineStr">
        <is>
          <t>410095</t>
        </is>
      </c>
      <c r="B110" s="2" t="inlineStr">
        <is>
          <t>SANDWICH TURKEY CHEESE WG IW</t>
        </is>
      </c>
      <c r="C110" s="2" t="n">
        <v>60</v>
      </c>
      <c r="D110" s="2" t="inlineStr">
        <is>
          <t>2026/03/11</t>
        </is>
      </c>
      <c r="E110" s="2" t="inlineStr">
        <is>
          <t>PO</t>
        </is>
      </c>
      <c r="F110" s="2" t="inlineStr">
        <is>
          <t>NC has enough on hand + on order (excl. this PO) to cover open sales</t>
        </is>
      </c>
    </row>
    <row r="111">
      <c r="A111" s="2" t="inlineStr">
        <is>
          <t>410138</t>
        </is>
      </c>
      <c r="B111" s="2" t="inlineStr">
        <is>
          <t>ELBOW MAC &amp; CHS RS WG</t>
        </is>
      </c>
      <c r="C111" s="2" t="n">
        <v>80</v>
      </c>
      <c r="D111" s="2" t="inlineStr">
        <is>
          <t>2026/03/13</t>
        </is>
      </c>
      <c r="E111" s="2" t="inlineStr">
        <is>
          <t>Transfer Order</t>
        </is>
      </c>
      <c r="F111" s="2" t="inlineStr">
        <is>
          <t>NC has enough on hand + on order (excl. this PO) to cover open sales</t>
        </is>
      </c>
    </row>
    <row r="112">
      <c r="A112" s="2" t="inlineStr">
        <is>
          <t>410158</t>
        </is>
      </c>
      <c r="B112" s="2" t="inlineStr">
        <is>
          <t>CMDY TACO STICK SPICY IW</t>
        </is>
      </c>
      <c r="C112" s="2" t="n">
        <v>32</v>
      </c>
      <c r="D112" s="2" t="inlineStr">
        <is>
          <t>2026/03/06</t>
        </is>
      </c>
      <c r="E112" s="2" t="inlineStr">
        <is>
          <t>PO</t>
        </is>
      </c>
      <c r="F112" s="2" t="inlineStr">
        <is>
          <t>CIC surplus of 96 can cover NC shortfall of 25</t>
        </is>
      </c>
    </row>
    <row r="113">
      <c r="A113" s="2" t="inlineStr">
        <is>
          <t>410379</t>
        </is>
      </c>
      <c r="B113" s="2" t="inlineStr">
        <is>
          <t>CHIC TENDERLOINS BREADED FC WG</t>
        </is>
      </c>
      <c r="C113" s="2" t="n">
        <v>40</v>
      </c>
      <c r="D113" s="2" t="inlineStr">
        <is>
          <t>2026/03/13</t>
        </is>
      </c>
      <c r="E113" s="2" t="inlineStr">
        <is>
          <t>Transfer Order</t>
        </is>
      </c>
      <c r="F113" s="2" t="inlineStr">
        <is>
          <t>NC has enough on hand + on order (excl. this PO) to cover open sales</t>
        </is>
      </c>
    </row>
    <row r="114">
      <c r="A114" s="2" t="inlineStr">
        <is>
          <t>410397</t>
        </is>
      </c>
      <c r="B114" s="2" t="inlineStr">
        <is>
          <t>BURRITO CHILE VERDE BN CHS IW</t>
        </is>
      </c>
      <c r="C114" s="2" t="n">
        <v>77</v>
      </c>
      <c r="D114" s="2" t="inlineStr">
        <is>
          <t>2026/03/13</t>
        </is>
      </c>
      <c r="E114" s="2" t="inlineStr">
        <is>
          <t>PO</t>
        </is>
      </c>
      <c r="F114" s="2" t="inlineStr">
        <is>
          <t>NC has enough on hand + on order (excl. this PO) to cover open sales</t>
        </is>
      </c>
    </row>
    <row r="115">
      <c r="A115" s="2" t="inlineStr">
        <is>
          <t>410591</t>
        </is>
      </c>
      <c r="B115" s="2" t="inlineStr">
        <is>
          <t>PUPUSA BIRRIA CHEESE</t>
        </is>
      </c>
      <c r="C115" s="2" t="n">
        <v>80</v>
      </c>
      <c r="D115" s="2" t="inlineStr">
        <is>
          <t>2026/03/13</t>
        </is>
      </c>
      <c r="E115" s="2" t="inlineStr">
        <is>
          <t>PO</t>
        </is>
      </c>
      <c r="F115" s="2" t="inlineStr">
        <is>
          <t>NC has enough on hand + on order (excl. this PO) to cover open sales</t>
        </is>
      </c>
    </row>
    <row r="116">
      <c r="A116" s="2" t="inlineStr">
        <is>
          <t>410915</t>
        </is>
      </c>
      <c r="B116" s="2" t="inlineStr">
        <is>
          <t>PULL APARTS BUTTERED GARLIC IW</t>
        </is>
      </c>
      <c r="C116" s="2" t="n">
        <v>15</v>
      </c>
      <c r="D116" s="2" t="inlineStr">
        <is>
          <t>2026/03/24</t>
        </is>
      </c>
      <c r="E116" s="2" t="inlineStr">
        <is>
          <t>Transfer Order</t>
        </is>
      </c>
      <c r="F116" s="2" t="inlineStr">
        <is>
          <t>CIC surplus of 616 can cover NC shortfall of 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>
      <c r="A1" s="7" t="inlineStr">
        <is>
          <t>NC vs CIC – Next PO/TO Review</t>
        </is>
      </c>
      <c r="B1" s="2" t="n"/>
    </row>
    <row r="2">
      <c r="A2" s="8" t="inlineStr"/>
      <c r="B2" s="2" t="n"/>
    </row>
    <row r="3">
      <c r="A3" s="9" t="inlineStr">
        <is>
          <t>Metric</t>
        </is>
      </c>
      <c r="B3" s="10" t="inlineStr">
        <is>
          <t>Count</t>
        </is>
      </c>
    </row>
    <row r="4">
      <c r="A4" s="8" t="inlineStr">
        <is>
          <t>Total NC items with PO/TO that also exist in CIC</t>
        </is>
      </c>
      <c r="B4" s="2" t="n">
        <v>126</v>
      </c>
    </row>
    <row r="5">
      <c r="A5" s="8" t="inlineStr">
        <is>
          <t xml:space="preserve">  └─ Purchase Orders</t>
        </is>
      </c>
      <c r="B5" s="2" t="n">
        <v>93</v>
      </c>
    </row>
    <row r="6">
      <c r="A6" s="8" t="inlineStr">
        <is>
          <t xml:space="preserve">  └─ Transfer Orders</t>
        </is>
      </c>
      <c r="B6" s="2" t="n">
        <v>33</v>
      </c>
    </row>
    <row r="7">
      <c r="A7" s="8" t="inlineStr">
        <is>
          <t>PO NOT Needed (can cancel/remove)</t>
        </is>
      </c>
      <c r="B7" s="2" t="n">
        <v>115</v>
      </c>
    </row>
    <row r="8">
      <c r="A8" s="8" t="inlineStr">
        <is>
          <t>PO Partially Needed (reduce qty)</t>
        </is>
      </c>
      <c r="B8" s="2" t="n">
        <v>8</v>
      </c>
    </row>
    <row r="9">
      <c r="A9" s="8" t="inlineStr">
        <is>
          <t>PO Needed (CIC cannot help)</t>
        </is>
      </c>
      <c r="B9" s="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2026-03-11T00:44:42Z</dcterms:created>
  <dcterms:modified xsi:type="dcterms:W3CDTF">2026-03-11T00:44:43Z</dcterms:modified>
</cp:coreProperties>
</file>